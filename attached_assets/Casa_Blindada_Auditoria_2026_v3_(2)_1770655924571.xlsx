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ANTAMENTO DE CAMPO" sheetId="1" state="visible" r:id="rId3"/>
    <sheet name="LISTAS_OPCOES" sheetId="2" state="hidden" r:id="rId4"/>
    <sheet name="MATRIZ DE RISCO" sheetId="3" state="visible" r:id="rId5"/>
    <sheet name="PLANO DE AÇÃO" sheetId="4" state="visible" r:id="rId6"/>
    <sheet name="RELATÓRIO EXECUTIV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<sst xmlns="http://schemas.openxmlformats.org/spreadsheetml/2006/main" count="758" uniqueCount="625">
  <si>
    <t xml:space="preserve">AUDITORIA DE SEGURANÇA RESIDENCIAL 2026 - LEVANTAMENTO DE CAMPO</t>
  </si>
  <si>
    <t xml:space="preserve">Código</t>
  </si>
  <si>
    <t xml:space="preserve">Categoria</t>
  </si>
  <si>
    <t xml:space="preserve">Pergunta</t>
  </si>
  <si>
    <t xml:space="preserve">Resposta</t>
  </si>
  <si>
    <t xml:space="preserve">Peso</t>
  </si>
  <si>
    <t xml:space="preserve">Observações</t>
  </si>
  <si>
    <t xml:space="preserve">P01</t>
  </si>
  <si>
    <t xml:space="preserve">PERÍMETRO</t>
  </si>
  <si>
    <t xml:space="preserve">Tipo de imóvel</t>
  </si>
  <si>
    <t xml:space="preserve">P02</t>
  </si>
  <si>
    <t xml:space="preserve">Metragem do terreno/área externa</t>
  </si>
  <si>
    <t xml:space="preserve">P03</t>
  </si>
  <si>
    <t xml:space="preserve">Tipo de muro/cerca</t>
  </si>
  <si>
    <t xml:space="preserve">P04</t>
  </si>
  <si>
    <t xml:space="preserve">Quantidade de portas externas</t>
  </si>
  <si>
    <t xml:space="preserve">P05</t>
  </si>
  <si>
    <t xml:space="preserve">Quantidade de janelas acessíveis do solo (&lt;2,5m)</t>
  </si>
  <si>
    <t xml:space="preserve">P06</t>
  </si>
  <si>
    <t xml:space="preserve">Tipo de garagem/estacionamento</t>
  </si>
  <si>
    <t xml:space="preserve">P07</t>
  </si>
  <si>
    <t xml:space="preserve">Gradil/proteção em janelas</t>
  </si>
  <si>
    <t xml:space="preserve">I01</t>
  </si>
  <si>
    <t xml:space="preserve">ILUMINAÇÃO</t>
  </si>
  <si>
    <t xml:space="preserve">Iluminação externa noturna principal</t>
  </si>
  <si>
    <t xml:space="preserve">I02</t>
  </si>
  <si>
    <t xml:space="preserve">Pontos de iluminação no perímetro</t>
  </si>
  <si>
    <t xml:space="preserve">I03</t>
  </si>
  <si>
    <t xml:space="preserve">Iluminação de emergência (falta de energia)</t>
  </si>
  <si>
    <t xml:space="preserve">I04</t>
  </si>
  <si>
    <t xml:space="preserve">Visibilidade da rua para o interior</t>
  </si>
  <si>
    <t xml:space="preserve">A01</t>
  </si>
  <si>
    <t xml:space="preserve">ACESSO</t>
  </si>
  <si>
    <t xml:space="preserve">Tipo de fechadura porta principal</t>
  </si>
  <si>
    <t xml:space="preserve">A02</t>
  </si>
  <si>
    <t xml:space="preserve">Material da porta principal</t>
  </si>
  <si>
    <t xml:space="preserve">A03</t>
  </si>
  <si>
    <t xml:space="preserve">Trancas adicionais (catenária, ferrolho)</t>
  </si>
  <si>
    <t xml:space="preserve">A04</t>
  </si>
  <si>
    <t xml:space="preserve">Porta de serviço/fundos</t>
  </si>
  <si>
    <t xml:space="preserve">A05</t>
  </si>
  <si>
    <t xml:space="preserve">Sistema de interfone/vídeo porteiro</t>
  </si>
  <si>
    <t xml:space="preserve">E01</t>
  </si>
  <si>
    <t xml:space="preserve">ELETRÔNICA</t>
  </si>
  <si>
    <t xml:space="preserve">Sistema de alarme</t>
  </si>
  <si>
    <t xml:space="preserve">E02</t>
  </si>
  <si>
    <t xml:space="preserve">Sensores de abertura (portas/janelas)</t>
  </si>
  <si>
    <t xml:space="preserve">E03</t>
  </si>
  <si>
    <t xml:space="preserve">Sensores volumétricos/movimento internos</t>
  </si>
  <si>
    <t xml:space="preserve">E04</t>
  </si>
  <si>
    <t xml:space="preserve">Câmeras CFTV quantidade e cobertura</t>
  </si>
  <si>
    <t xml:space="preserve">E05</t>
  </si>
  <si>
    <t xml:space="preserve">Qualidade de gravação CFTV</t>
  </si>
  <si>
    <t xml:space="preserve">E06</t>
  </si>
  <si>
    <t xml:space="preserve">Armazenamento/gravação CFTV</t>
  </si>
  <si>
    <t xml:space="preserve">E07</t>
  </si>
  <si>
    <t xml:space="preserve">Botão de pânico/emergência</t>
  </si>
  <si>
    <t xml:space="preserve">E08</t>
  </si>
  <si>
    <t xml:space="preserve">Automação residencial integrada</t>
  </si>
  <si>
    <t xml:space="preserve">H01</t>
  </si>
  <si>
    <t xml:space="preserve">HUMANO</t>
  </si>
  <si>
    <t xml:space="preserve">Presença diurna (seg-sex 8h-18h)</t>
  </si>
  <si>
    <t xml:space="preserve">H02</t>
  </si>
  <si>
    <t xml:space="preserve">Frequência de viagens/ausências longas</t>
  </si>
  <si>
    <t xml:space="preserve">H03</t>
  </si>
  <si>
    <t xml:space="preserve">Animal de guarda na propriedade</t>
  </si>
  <si>
    <t xml:space="preserve">H04</t>
  </si>
  <si>
    <t xml:space="preserve">Ronda/segurança externa no bairro</t>
  </si>
  <si>
    <t xml:space="preserve">H05</t>
  </si>
  <si>
    <t xml:space="preserve">Vizinhança ativa/rede de vigilância</t>
  </si>
  <si>
    <t xml:space="preserve">H06</t>
  </si>
  <si>
    <t xml:space="preserve">Exposição em redes sociais (privacidade)</t>
  </si>
  <si>
    <t xml:space="preserve">H07</t>
  </si>
  <si>
    <t xml:space="preserve">Histórico de incidentes nos últimos 24 meses</t>
  </si>
  <si>
    <t xml:space="preserve">H08</t>
  </si>
  <si>
    <t xml:space="preserve">Índice de criminalidade do bairro/região</t>
  </si>
  <si>
    <t xml:space="preserve">💡 INSTRUÇÕES: Todas as perguntas possuem menu suspenso (clique na célula). Se nenhuma opção se aplicar, selecione "Outro (especificar)" e detalhe na coluna Observações (F).</t>
  </si>
  <si>
    <t xml:space="preserve">Casa térrea</t>
  </si>
  <si>
    <t xml:space="preserve">0-50m² (sem área)</t>
  </si>
  <si>
    <t xml:space="preserve">Nenhum</t>
  </si>
  <si>
    <t xml:space="preserve">0 (apenas portão)</t>
  </si>
  <si>
    <t xml:space="preserve">0 janelas</t>
  </si>
  <si>
    <t xml:space="preserve">Não possui</t>
  </si>
  <si>
    <t xml:space="preserve">Nenhuma proteção</t>
  </si>
  <si>
    <t xml:space="preserve">Nenhuma</t>
  </si>
  <si>
    <t xml:space="preserve">0 pontos</t>
  </si>
  <si>
    <t xml:space="preserve">Visibilidade total</t>
  </si>
  <si>
    <t xml:space="preserve">Comum padrão</t>
  </si>
  <si>
    <t xml:space="preserve">Madeira oca</t>
  </si>
  <si>
    <t xml:space="preserve">Não existe</t>
  </si>
  <si>
    <t xml:space="preserve">N/A</t>
  </si>
  <si>
    <t xml:space="preserve">Sempre vazia</t>
  </si>
  <si>
    <t xml:space="preserve">Nunca viaja</t>
  </si>
  <si>
    <t xml:space="preserve">Inexistente</t>
  </si>
  <si>
    <t xml:space="preserve">Nenhuma interação</t>
  </si>
  <si>
    <t xml:space="preserve">Perfis públicos localização sempre</t>
  </si>
  <si>
    <t xml:space="preserve">Muito baixo &lt;5/1000</t>
  </si>
  <si>
    <t xml:space="preserve">Sobrado 2 andares</t>
  </si>
  <si>
    <t xml:space="preserve">51-100m²</t>
  </si>
  <si>
    <t xml:space="preserve">Cerca viva/plantas</t>
  </si>
  <si>
    <t xml:space="preserve">1 porta</t>
  </si>
  <si>
    <t xml:space="preserve">1 janela</t>
  </si>
  <si>
    <t xml:space="preserve">Vaga rua descoberta</t>
  </si>
  <si>
    <t xml:space="preserve">Apenas telas</t>
  </si>
  <si>
    <t xml:space="preserve">Manual liga/desliga</t>
  </si>
  <si>
    <t xml:space="preserve">1 ponto (entrada)</t>
  </si>
  <si>
    <t xml:space="preserve">Lanternas manuais</t>
  </si>
  <si>
    <t xml:space="preserve">Alta (70-90%)</t>
  </si>
  <si>
    <t xml:space="preserve">Comum dupla</t>
  </si>
  <si>
    <t xml:space="preserve">Madeira semi-maciça</t>
  </si>
  <si>
    <t xml:space="preserve">Ferrolho simples 1pt</t>
  </si>
  <si>
    <t xml:space="preserve">Madeira básica</t>
  </si>
  <si>
    <t xml:space="preserve">Interfone áudio simples</t>
  </si>
  <si>
    <t xml:space="preserve">Simulador adesivos</t>
  </si>
  <si>
    <t xml:space="preserve">1 sensor (porta)</t>
  </si>
  <si>
    <t xml:space="preserve">1 sensor (sala)</t>
  </si>
  <si>
    <t xml:space="preserve">1 câmera (entrada)</t>
  </si>
  <si>
    <t xml:space="preserve">Analógica baixa</t>
  </si>
  <si>
    <t xml:space="preserve">Sem gravação</t>
  </si>
  <si>
    <t xml:space="preserve">Fixo 1 ponto</t>
  </si>
  <si>
    <t xml:space="preserve">Lâmpadas smart</t>
  </si>
  <si>
    <t xml:space="preserve">Vazia 80-90%</t>
  </si>
  <si>
    <t xml:space="preserve">Raramente 1x/ano</t>
  </si>
  <si>
    <t xml:space="preserve">Gato</t>
  </si>
  <si>
    <t xml:space="preserve">Policiamento 1x/semana</t>
  </si>
  <si>
    <t xml:space="preserve">Apenas cumprimento</t>
  </si>
  <si>
    <t xml:space="preserve">Posta tempo real</t>
  </si>
  <si>
    <t xml:space="preserve">Tentativa furto carro</t>
  </si>
  <si>
    <t xml:space="preserve">Baixo 5-15/1000</t>
  </si>
  <si>
    <t xml:space="preserve">Sobrado 3+ andares</t>
  </si>
  <si>
    <t xml:space="preserve">101-200m²</t>
  </si>
  <si>
    <t xml:space="preserve">Alambrado &lt;1,2m</t>
  </si>
  <si>
    <t xml:space="preserve">2 portas</t>
  </si>
  <si>
    <t xml:space="preserve">2 janelas</t>
  </si>
  <si>
    <t xml:space="preserve">Vaga rua coberta</t>
  </si>
  <si>
    <t xml:space="preserve">&lt;25% protegidas</t>
  </si>
  <si>
    <t xml:space="preserve">Timer fixo</t>
  </si>
  <si>
    <t xml:space="preserve">2 pontos (frente)</t>
  </si>
  <si>
    <t xml:space="preserve">Luminárias 1-2 pontos</t>
  </si>
  <si>
    <t xml:space="preserve">Média (40-70%)</t>
  </si>
  <si>
    <t xml:space="preserve">Tetra 40mm</t>
  </si>
  <si>
    <t xml:space="preserve">Madeira maciça básica</t>
  </si>
  <si>
    <t xml:space="preserve">Ferrolho reforçado</t>
  </si>
  <si>
    <t xml:space="preserve">Madeira reforçada</t>
  </si>
  <si>
    <t xml:space="preserve">Interfone múltiplos pontos</t>
  </si>
  <si>
    <t xml:space="preserve">Simulador adesivos+sirene</t>
  </si>
  <si>
    <t xml:space="preserve">2 sensores</t>
  </si>
  <si>
    <t xml:space="preserve">2 sensores (sala+corredor)</t>
  </si>
  <si>
    <t xml:space="preserve">2 câmeras (frente)</t>
  </si>
  <si>
    <t xml:space="preserve">Analógica SD 480p</t>
  </si>
  <si>
    <t xml:space="preserve">DVR 3 dias</t>
  </si>
  <si>
    <t xml:space="preserve">Fixos 2-3 pontos</t>
  </si>
  <si>
    <t xml:space="preserve">Tomadas smart</t>
  </si>
  <si>
    <t xml:space="preserve">Vazia 50-70%</t>
  </si>
  <si>
    <t xml:space="preserve">2-3x/ano</t>
  </si>
  <si>
    <t xml:space="preserve">Cão &lt;10kg</t>
  </si>
  <si>
    <t xml:space="preserve">Policiamento 2-3x/semana</t>
  </si>
  <si>
    <t xml:space="preserve">Conhece casualmente</t>
  </si>
  <si>
    <t xml:space="preserve">Marca locais ocasional</t>
  </si>
  <si>
    <t xml:space="preserve">Tentativa arrombamento</t>
  </si>
  <si>
    <t xml:space="preserve">Médio-baixo 15-30/1000</t>
  </si>
  <si>
    <t xml:space="preserve">Apartamento térreo</t>
  </si>
  <si>
    <t xml:space="preserve">201-300m²</t>
  </si>
  <si>
    <t xml:space="preserve">Alambrado 1,2-1,8m</t>
  </si>
  <si>
    <t xml:space="preserve">3 portas</t>
  </si>
  <si>
    <t xml:space="preserve">3 janelas</t>
  </si>
  <si>
    <t xml:space="preserve">Garagem sem portão</t>
  </si>
  <si>
    <t xml:space="preserve">25-50% protegidas</t>
  </si>
  <si>
    <t xml:space="preserve">Timer programável</t>
  </si>
  <si>
    <t xml:space="preserve">3 pontos</t>
  </si>
  <si>
    <t xml:space="preserve">Sistema 3-5 pontos</t>
  </si>
  <si>
    <t xml:space="preserve">Baixa (10-40%)</t>
  </si>
  <si>
    <t xml:space="preserve">Tetra 60mm</t>
  </si>
  <si>
    <t xml:space="preserve">Madeira maciça nobre</t>
  </si>
  <si>
    <t xml:space="preserve">Catenária básica</t>
  </si>
  <si>
    <t xml:space="preserve">Metal básico</t>
  </si>
  <si>
    <t xml:space="preserve">Vídeo P&amp;B</t>
  </si>
  <si>
    <t xml:space="preserve">Central local básica</t>
  </si>
  <si>
    <t xml:space="preserve">3 sensores</t>
  </si>
  <si>
    <t xml:space="preserve">3-4 sensores</t>
  </si>
  <si>
    <t xml:space="preserve">3 câmeras</t>
  </si>
  <si>
    <t xml:space="preserve">HD 720p</t>
  </si>
  <si>
    <t xml:space="preserve">DVR 7 dias</t>
  </si>
  <si>
    <t xml:space="preserve">Fixos 4+ pontos</t>
  </si>
  <si>
    <t xml:space="preserve">Smart speakers</t>
  </si>
  <si>
    <t xml:space="preserve">Presença 20-40%</t>
  </si>
  <si>
    <t xml:space="preserve">4-8x/ano</t>
  </si>
  <si>
    <t xml:space="preserve">Cão 10-15kg</t>
  </si>
  <si>
    <t xml:space="preserve">Viatura diária</t>
  </si>
  <si>
    <t xml:space="preserve">Bom relacionamento</t>
  </si>
  <si>
    <t xml:space="preserve">Posta após retornar</t>
  </si>
  <si>
    <t xml:space="preserve">Furto objetos externos</t>
  </si>
  <si>
    <t xml:space="preserve">Médio 30-50/1000</t>
  </si>
  <si>
    <t xml:space="preserve">Apartamento 1º andar</t>
  </si>
  <si>
    <t xml:space="preserve">301-500m²</t>
  </si>
  <si>
    <t xml:space="preserve">Alambrado &gt;1,8m</t>
  </si>
  <si>
    <t xml:space="preserve">4 portas</t>
  </si>
  <si>
    <t xml:space="preserve">4-6 janelas</t>
  </si>
  <si>
    <t xml:space="preserve">Portão manual simples</t>
  </si>
  <si>
    <t xml:space="preserve">50-75% protegidas</t>
  </si>
  <si>
    <t xml:space="preserve">Fotocélula</t>
  </si>
  <si>
    <t xml:space="preserve">4-6 pontos</t>
  </si>
  <si>
    <t xml:space="preserve">Sistema &gt;5 pontos</t>
  </si>
  <si>
    <t xml:space="preserve">Muito baixa (&lt;10%)</t>
  </si>
  <si>
    <t xml:space="preserve">Tetra cilindro europeu</t>
  </si>
  <si>
    <t xml:space="preserve">MDF reforçado</t>
  </si>
  <si>
    <t xml:space="preserve">Catenária reforçada</t>
  </si>
  <si>
    <t xml:space="preserve">Metal reforçado</t>
  </si>
  <si>
    <t xml:space="preserve">Vídeo colorido</t>
  </si>
  <si>
    <t xml:space="preserve">Central local 1-3 sensores</t>
  </si>
  <si>
    <t xml:space="preserve">4-6 sensores</t>
  </si>
  <si>
    <t xml:space="preserve">5-8 sensores</t>
  </si>
  <si>
    <t xml:space="preserve">4 câmeras</t>
  </si>
  <si>
    <t xml:space="preserve">Full HD 1080p</t>
  </si>
  <si>
    <t xml:space="preserve">DVR 15 dias</t>
  </si>
  <si>
    <t xml:space="preserve">Controle portátil 1un</t>
  </si>
  <si>
    <t xml:space="preserve">Lâmpadas+tomadas</t>
  </si>
  <si>
    <t xml:space="preserve">Presença 60-80%</t>
  </si>
  <si>
    <t xml:space="preserve">9-12x/ano</t>
  </si>
  <si>
    <t xml:space="preserve">Cão 15-25kg</t>
  </si>
  <si>
    <t xml:space="preserve">Ronda Municipal</t>
  </si>
  <si>
    <t xml:space="preserve">Grupo WhatsApp informal</t>
  </si>
  <si>
    <t xml:space="preserve">Nunca marca localização</t>
  </si>
  <si>
    <t xml:space="preserve">Furto bicicleta/moto</t>
  </si>
  <si>
    <t xml:space="preserve">Médio-alto 50-75/1000</t>
  </si>
  <si>
    <t xml:space="preserve">Apartamento 2º andar</t>
  </si>
  <si>
    <t xml:space="preserve">501-1000m²</t>
  </si>
  <si>
    <t xml:space="preserve">Muro blocos &lt;1,5m</t>
  </si>
  <si>
    <t xml:space="preserve">5 portas</t>
  </si>
  <si>
    <t xml:space="preserve">7-10 janelas</t>
  </si>
  <si>
    <t xml:space="preserve">Portão manual com tranca</t>
  </si>
  <si>
    <t xml:space="preserve">75-90% protegidas</t>
  </si>
  <si>
    <t xml:space="preserve">Sensor PIR</t>
  </si>
  <si>
    <t xml:space="preserve">7-10 pontos</t>
  </si>
  <si>
    <t xml:space="preserve">Bateria backup</t>
  </si>
  <si>
    <t xml:space="preserve">Bloqueada total</t>
  </si>
  <si>
    <t xml:space="preserve">Deadbolt simples</t>
  </si>
  <si>
    <t xml:space="preserve">Metal chapa fina</t>
  </si>
  <si>
    <t xml:space="preserve">Tranca Gorges</t>
  </si>
  <si>
    <t xml:space="preserve">Fechadura simples</t>
  </si>
  <si>
    <t xml:space="preserve">Vídeo digital 4"</t>
  </si>
  <si>
    <t xml:space="preserve">Central local 4-8 sensores</t>
  </si>
  <si>
    <t xml:space="preserve">7-10 sensores</t>
  </si>
  <si>
    <t xml:space="preserve">9-12 sensores</t>
  </si>
  <si>
    <t xml:space="preserve">5-7 câmeras</t>
  </si>
  <si>
    <t xml:space="preserve">2K 1440p</t>
  </si>
  <si>
    <t xml:space="preserve">DVR 30 dias</t>
  </si>
  <si>
    <t xml:space="preserve">Controles 2-4un</t>
  </si>
  <si>
    <t xml:space="preserve">Integração 2 sistemas</t>
  </si>
  <si>
    <t xml:space="preserve">Sempre alguém &gt;90%</t>
  </si>
  <si>
    <t xml:space="preserve">Mensalmente</t>
  </si>
  <si>
    <t xml:space="preserve">Cão 25-35kg</t>
  </si>
  <si>
    <t xml:space="preserve">Ronda privada 1x/dia</t>
  </si>
  <si>
    <t xml:space="preserve">Grupo vigilância ativo</t>
  </si>
  <si>
    <t xml:space="preserve">Nunca compartilha rotina</t>
  </si>
  <si>
    <t xml:space="preserve">Furto arrombamento</t>
  </si>
  <si>
    <t xml:space="preserve">Alto 75-100/1000</t>
  </si>
  <si>
    <t xml:space="preserve">Apartamento 3º-5º andar</t>
  </si>
  <si>
    <t xml:space="preserve">1001-2000m²</t>
  </si>
  <si>
    <t xml:space="preserve">Muro blocos 1,5-2m</t>
  </si>
  <si>
    <t xml:space="preserve">6-8 portas</t>
  </si>
  <si>
    <t xml:space="preserve">11-15 janelas</t>
  </si>
  <si>
    <t xml:space="preserve">Portão basculante</t>
  </si>
  <si>
    <t xml:space="preserve">100% protegidas</t>
  </si>
  <si>
    <t xml:space="preserve">Sensor microondas</t>
  </si>
  <si>
    <t xml:space="preserve">11-15 pontos</t>
  </si>
  <si>
    <t xml:space="preserve">Gerador manual</t>
  </si>
  <si>
    <t xml:space="preserve">Película fumê</t>
  </si>
  <si>
    <t xml:space="preserve">Deadbolt reforçada</t>
  </si>
  <si>
    <t xml:space="preserve">Metal chapa grossa</t>
  </si>
  <si>
    <t xml:space="preserve">Múltiplos 2-3</t>
  </si>
  <si>
    <t xml:space="preserve">Fechadura reforçada</t>
  </si>
  <si>
    <t xml:space="preserve">Vídeo digital 7"+</t>
  </si>
  <si>
    <t xml:space="preserve">Central local 9+ sensores</t>
  </si>
  <si>
    <t xml:space="preserve">11-15 sensores</t>
  </si>
  <si>
    <t xml:space="preserve">&gt;12 sensores</t>
  </si>
  <si>
    <t xml:space="preserve">8-12 câmeras</t>
  </si>
  <si>
    <t xml:space="preserve">4K 2160p</t>
  </si>
  <si>
    <t xml:space="preserve">NVR 60+ dias</t>
  </si>
  <si>
    <t xml:space="preserve">Controles 5+un</t>
  </si>
  <si>
    <t xml:space="preserve">Integração 3 sistemas</t>
  </si>
  <si>
    <t xml:space="preserve">Home office 1 pessoa</t>
  </si>
  <si>
    <t xml:space="preserve">Quinzenalmente</t>
  </si>
  <si>
    <t xml:space="preserve">Cão 35-50kg</t>
  </si>
  <si>
    <t xml:space="preserve">Ronda privada 2-3x/dia</t>
  </si>
  <si>
    <t xml:space="preserve">Rede organizada</t>
  </si>
  <si>
    <t xml:space="preserve">Perfil semi-privado</t>
  </si>
  <si>
    <t xml:space="preserve">Roubo intimidação</t>
  </si>
  <si>
    <t xml:space="preserve">Muito alto &gt;100/1000</t>
  </si>
  <si>
    <t xml:space="preserve">Apartamento &gt;5º andar</t>
  </si>
  <si>
    <t xml:space="preserve">2001-5000m²</t>
  </si>
  <si>
    <t xml:space="preserve">Muro blocos 2-2,5m</t>
  </si>
  <si>
    <t xml:space="preserve">9-12 portas</t>
  </si>
  <si>
    <t xml:space="preserve">16-20 janelas</t>
  </si>
  <si>
    <t xml:space="preserve">Portão automático básico</t>
  </si>
  <si>
    <t xml:space="preserve">Grades fixas simples</t>
  </si>
  <si>
    <t xml:space="preserve">Sensor duplo PIR+MW</t>
  </si>
  <si>
    <t xml:space="preserve">&gt;15 pontos</t>
  </si>
  <si>
    <t xml:space="preserve">Gerador automático</t>
  </si>
  <si>
    <t xml:space="preserve">Cortinas blackout</t>
  </si>
  <si>
    <t xml:space="preserve">Multiponto 3pts</t>
  </si>
  <si>
    <t xml:space="preserve">Aço reforçado</t>
  </si>
  <si>
    <t xml:space="preserve">Múltiplos 4+</t>
  </si>
  <si>
    <t xml:space="preserve">Com tranca adicional</t>
  </si>
  <si>
    <t xml:space="preserve">IP gravação local</t>
  </si>
  <si>
    <t xml:space="preserve">Monitorado 24h básico</t>
  </si>
  <si>
    <t xml:space="preserve">16-20 sensores</t>
  </si>
  <si>
    <t xml:space="preserve">Áreas principais</t>
  </si>
  <si>
    <t xml:space="preserve">13-20 câmeras</t>
  </si>
  <si>
    <t xml:space="preserve">8K+</t>
  </si>
  <si>
    <t xml:space="preserve">Cloud 7 dias</t>
  </si>
  <si>
    <t xml:space="preserve">Vestível pulseira</t>
  </si>
  <si>
    <t xml:space="preserve">Alarme+câmeras</t>
  </si>
  <si>
    <t xml:space="preserve">Home office múltiplos</t>
  </si>
  <si>
    <t xml:space="preserve">Semanalmente</t>
  </si>
  <si>
    <t xml:space="preserve">Cão &gt;50kg</t>
  </si>
  <si>
    <t xml:space="preserve">Ronda privada 4-8x/dia</t>
  </si>
  <si>
    <t xml:space="preserve">App comunitário</t>
  </si>
  <si>
    <t xml:space="preserve">Perfil privado total</t>
  </si>
  <si>
    <t xml:space="preserve">Invasão domiciliar</t>
  </si>
  <si>
    <t xml:space="preserve">Crítico zona risco</t>
  </si>
  <si>
    <t xml:space="preserve">Cobertura</t>
  </si>
  <si>
    <t xml:space="preserve">5001-10000m²</t>
  </si>
  <si>
    <t xml:space="preserve">Muro blocos &gt;2,5m</t>
  </si>
  <si>
    <t xml:space="preserve">&gt;12 portas</t>
  </si>
  <si>
    <t xml:space="preserve">21-30 janelas</t>
  </si>
  <si>
    <t xml:space="preserve">Portão auto com sensor</t>
  </si>
  <si>
    <t xml:space="preserve">Grades reforçadas</t>
  </si>
  <si>
    <t xml:space="preserve">Faixa LED</t>
  </si>
  <si>
    <t xml:space="preserve">Cobertura 360°</t>
  </si>
  <si>
    <t xml:space="preserve">Nobreak luzes</t>
  </si>
  <si>
    <t xml:space="preserve">Persianas sempre baixas</t>
  </si>
  <si>
    <t xml:space="preserve">Multiponto 5pts</t>
  </si>
  <si>
    <t xml:space="preserve">Blindada nível I</t>
  </si>
  <si>
    <t xml:space="preserve">Trava de piso</t>
  </si>
  <si>
    <t xml:space="preserve">Bloqueada permanente</t>
  </si>
  <si>
    <t xml:space="preserve">IP gravação nuvem</t>
  </si>
  <si>
    <t xml:space="preserve">Monitorado 24h completo</t>
  </si>
  <si>
    <t xml:space="preserve">&gt;20 sensores</t>
  </si>
  <si>
    <t xml:space="preserve">Cobertura total</t>
  </si>
  <si>
    <t xml:space="preserve">&gt;20 câmeras</t>
  </si>
  <si>
    <t xml:space="preserve">Visão noturna 5-10m</t>
  </si>
  <si>
    <t xml:space="preserve">Cloud 15 dias</t>
  </si>
  <si>
    <t xml:space="preserve">App smartphone básico</t>
  </si>
  <si>
    <t xml:space="preserve">Alarme+câmeras+iluminação</t>
  </si>
  <si>
    <t xml:space="preserve">Idosos tempo integral</t>
  </si>
  <si>
    <t xml:space="preserve">Viagens trabalho</t>
  </si>
  <si>
    <t xml:space="preserve">Raça guarda</t>
  </si>
  <si>
    <t xml:space="preserve">Ronda contínua 24h</t>
  </si>
  <si>
    <t xml:space="preserve">Câmeras compartilhadas</t>
  </si>
  <si>
    <t xml:space="preserve">Sem redes sociais</t>
  </si>
  <si>
    <t xml:space="preserve">Sequestro relâmpago</t>
  </si>
  <si>
    <t xml:space="preserve">Bairro nobre</t>
  </si>
  <si>
    <t xml:space="preserve">Chácara/Sítio &lt;1000m²</t>
  </si>
  <si>
    <t xml:space="preserve">&gt;10000m²</t>
  </si>
  <si>
    <t xml:space="preserve">Muro com grades topo</t>
  </si>
  <si>
    <t xml:space="preserve">Outro (especificar)</t>
  </si>
  <si>
    <t xml:space="preserve">&gt;30 janelas</t>
  </si>
  <si>
    <t xml:space="preserve">Portão auto com controle</t>
  </si>
  <si>
    <t xml:space="preserve">Grades removíveis</t>
  </si>
  <si>
    <t xml:space="preserve">Refletores</t>
  </si>
  <si>
    <t xml:space="preserve">Apenas frente</t>
  </si>
  <si>
    <t xml:space="preserve">Solar independente</t>
  </si>
  <si>
    <t xml:space="preserve">Vegetação densa</t>
  </si>
  <si>
    <t xml:space="preserve">Multiponto 7+pts</t>
  </si>
  <si>
    <t xml:space="preserve">Blindada nível II</t>
  </si>
  <si>
    <t xml:space="preserve">Trava tetra auxiliar</t>
  </si>
  <si>
    <t xml:space="preserve">Bloqueada com alarme</t>
  </si>
  <si>
    <t xml:space="preserve">Smart com app</t>
  </si>
  <si>
    <t xml:space="preserve">Monitorado vídeo verificação</t>
  </si>
  <si>
    <t xml:space="preserve">Todos acessos 100%</t>
  </si>
  <si>
    <t xml:space="preserve">PIR básico</t>
  </si>
  <si>
    <t xml:space="preserve">Cobertura frente</t>
  </si>
  <si>
    <t xml:space="preserve">Visão noturna 20-30m</t>
  </si>
  <si>
    <t xml:space="preserve">Cloud 30 dias</t>
  </si>
  <si>
    <t xml:space="preserve">App com GPS</t>
  </si>
  <si>
    <t xml:space="preserve">Alarme+câmeras+fechaduras</t>
  </si>
  <si>
    <t xml:space="preserve">Crianças após escola</t>
  </si>
  <si>
    <t xml:space="preserve">Ausências &gt;1 semana</t>
  </si>
  <si>
    <t xml:space="preserve">Raça guarda treinamento básico</t>
  </si>
  <si>
    <t xml:space="preserve">Guarita entrada</t>
  </si>
  <si>
    <t xml:space="preserve">Reuniões periódicas</t>
  </si>
  <si>
    <t xml:space="preserve">Fotos sem geo</t>
  </si>
  <si>
    <t xml:space="preserve">Múltiplas tentativas 2-3</t>
  </si>
  <si>
    <t xml:space="preserve">Bairro periférico</t>
  </si>
  <si>
    <t xml:space="preserve">Chácara/Sítio 1000-5000m²</t>
  </si>
  <si>
    <t xml:space="preserve">N/A (apartamento)</t>
  </si>
  <si>
    <t xml:space="preserve">Muro com espículas</t>
  </si>
  <si>
    <t xml:space="preserve">Todas &gt;2,5m</t>
  </si>
  <si>
    <t xml:space="preserve">Portão auto biometria</t>
  </si>
  <si>
    <t xml:space="preserve">Grades decorativas</t>
  </si>
  <si>
    <t xml:space="preserve">Postes com lâmpadas</t>
  </si>
  <si>
    <t xml:space="preserve">Frente + fundos</t>
  </si>
  <si>
    <t xml:space="preserve">Muros + vegetação</t>
  </si>
  <si>
    <t xml:space="preserve">Eletrônica senha 4dig</t>
  </si>
  <si>
    <t xml:space="preserve">Blindada nível III</t>
  </si>
  <si>
    <t xml:space="preserve">Tranca eletrônica</t>
  </si>
  <si>
    <t xml:space="preserve">Gradeada + porta</t>
  </si>
  <si>
    <t xml:space="preserve">Smart reconhecimento facial</t>
  </si>
  <si>
    <t xml:space="preserve">Smart DIY</t>
  </si>
  <si>
    <t xml:space="preserve">Apenas portas</t>
  </si>
  <si>
    <t xml:space="preserve">PIR pet 15kg</t>
  </si>
  <si>
    <t xml:space="preserve">Frente+fundos</t>
  </si>
  <si>
    <t xml:space="preserve">Visão noturna 40m+</t>
  </si>
  <si>
    <t xml:space="preserve">Cloud 90+ dias</t>
  </si>
  <si>
    <t xml:space="preserve">Integrado central</t>
  </si>
  <si>
    <t xml:space="preserve">Central unificada</t>
  </si>
  <si>
    <t xml:space="preserve">Empregada integral</t>
  </si>
  <si>
    <t xml:space="preserve">Ausências &gt;1 mês</t>
  </si>
  <si>
    <t xml:space="preserve">Raça guarda profissional</t>
  </si>
  <si>
    <t xml:space="preserve">Guarita+ronda</t>
  </si>
  <si>
    <t xml:space="preserve">Contratação coletiva</t>
  </si>
  <si>
    <t xml:space="preserve">Atraso 24h+</t>
  </si>
  <si>
    <t xml:space="preserve">Dados indisponíveis</t>
  </si>
  <si>
    <t xml:space="preserve">Fazenda &gt;5000m²</t>
  </si>
  <si>
    <t xml:space="preserve">Muro com cacos vidro</t>
  </si>
  <si>
    <t xml:space="preserve">Portão auto com app</t>
  </si>
  <si>
    <t xml:space="preserve">Grades com abertura</t>
  </si>
  <si>
    <t xml:space="preserve">Solar externa</t>
  </si>
  <si>
    <t xml:space="preserve">Perímetro completo</t>
  </si>
  <si>
    <t xml:space="preserve">Eletrônica senha 6+dig</t>
  </si>
  <si>
    <t xml:space="preserve">Blindada nível IV+</t>
  </si>
  <si>
    <t xml:space="preserve">Barra transversal</t>
  </si>
  <si>
    <t xml:space="preserve">Integrado fechadura</t>
  </si>
  <si>
    <t xml:space="preserve">Apenas janelas</t>
  </si>
  <si>
    <t xml:space="preserve">PIR pet 25kg</t>
  </si>
  <si>
    <t xml:space="preserve">Colorida noturna</t>
  </si>
  <si>
    <t xml:space="preserve">Híbrido local+nuvem</t>
  </si>
  <si>
    <t xml:space="preserve">Por voz Alexa/Google</t>
  </si>
  <si>
    <t xml:space="preserve">Com cenas automação</t>
  </si>
  <si>
    <t xml:space="preserve">Turnos alternados</t>
  </si>
  <si>
    <t xml:space="preserve">Casa temporada</t>
  </si>
  <si>
    <t xml:space="preserve">Segurança 8h</t>
  </si>
  <si>
    <t xml:space="preserve">Observam viagens</t>
  </si>
  <si>
    <t xml:space="preserve">Consciência digital</t>
  </si>
  <si>
    <t xml:space="preserve">Incidentes vizinhos</t>
  </si>
  <si>
    <t xml:space="preserve">Consultado SSP</t>
  </si>
  <si>
    <t xml:space="preserve">Condomínio fechado</t>
  </si>
  <si>
    <t xml:space="preserve">Cerca elétrica ativa</t>
  </si>
  <si>
    <t xml:space="preserve">Garagem subterrânea</t>
  </si>
  <si>
    <t xml:space="preserve">Película 3M</t>
  </si>
  <si>
    <t xml:space="preserve">Smart WiFi</t>
  </si>
  <si>
    <t xml:space="preserve">Biométrica digital</t>
  </si>
  <si>
    <t xml:space="preserve">PVC reforçado</t>
  </si>
  <si>
    <t xml:space="preserve">Sistema completo abertura remota</t>
  </si>
  <si>
    <t xml:space="preserve">Smart com IA</t>
  </si>
  <si>
    <t xml:space="preserve">Portas+janelas principais</t>
  </si>
  <si>
    <t xml:space="preserve">Microondas</t>
  </si>
  <si>
    <t xml:space="preserve">Perímetro+interior</t>
  </si>
  <si>
    <t xml:space="preserve">WDR</t>
  </si>
  <si>
    <t xml:space="preserve">Por movimento</t>
  </si>
  <si>
    <t xml:space="preserve">Botão oculto</t>
  </si>
  <si>
    <t xml:space="preserve">Com geofencing</t>
  </si>
  <si>
    <t xml:space="preserve">Monitoramento remoto</t>
  </si>
  <si>
    <t xml:space="preserve">Segurança 12h</t>
  </si>
  <si>
    <t xml:space="preserve">Troca chaves</t>
  </si>
  <si>
    <t xml:space="preserve">Área histórico criminal</t>
  </si>
  <si>
    <t xml:space="preserve">Flat/Apart-hotel</t>
  </si>
  <si>
    <t xml:space="preserve">Cerca elétrica + alarme</t>
  </si>
  <si>
    <t xml:space="preserve">Box fechado</t>
  </si>
  <si>
    <t xml:space="preserve">Vidro laminado</t>
  </si>
  <si>
    <t xml:space="preserve">Biométrica facial</t>
  </si>
  <si>
    <t xml:space="preserve">Vidro temperado</t>
  </si>
  <si>
    <t xml:space="preserve">Híbrido local+monitorado</t>
  </si>
  <si>
    <t xml:space="preserve">Portas+janelas+basculantes</t>
  </si>
  <si>
    <t xml:space="preserve">Duplo PIR+MW</t>
  </si>
  <si>
    <t xml:space="preserve">IA detecção pessoas</t>
  </si>
  <si>
    <t xml:space="preserve">HDR</t>
  </si>
  <si>
    <t xml:space="preserve">Contínua 24/7</t>
  </si>
  <si>
    <t xml:space="preserve">Com IA/aprendizado</t>
  </si>
  <si>
    <t xml:space="preserve">Alarme som cachorro</t>
  </si>
  <si>
    <t xml:space="preserve">Segurança 24h</t>
  </si>
  <si>
    <t xml:space="preserve">Loft</t>
  </si>
  <si>
    <t xml:space="preserve">Concertina dupla</t>
  </si>
  <si>
    <t xml:space="preserve">2 portões (duplo)</t>
  </si>
  <si>
    <t xml:space="preserve">Integrada alarme</t>
  </si>
  <si>
    <t xml:space="preserve">Smart Bluetooth</t>
  </si>
  <si>
    <t xml:space="preserve">Vidro laminado+metal</t>
  </si>
  <si>
    <t xml:space="preserve">Múltiplas centrais</t>
  </si>
  <si>
    <t xml:space="preserve">Com fio</t>
  </si>
  <si>
    <t xml:space="preserve">Sensor cortina</t>
  </si>
  <si>
    <t xml:space="preserve">Reconhecimento facial</t>
  </si>
  <si>
    <t xml:space="preserve">Com redundância</t>
  </si>
  <si>
    <t xml:space="preserve">Controle voz completo</t>
  </si>
  <si>
    <t xml:space="preserve">Segurança armada</t>
  </si>
  <si>
    <t xml:space="preserve">Kitnet/Studio</t>
  </si>
  <si>
    <t xml:space="preserve">Muro + cerca + alarme</t>
  </si>
  <si>
    <t xml:space="preserve">Película + grades</t>
  </si>
  <si>
    <t xml:space="preserve">Colorida RGB</t>
  </si>
  <si>
    <t xml:space="preserve">Alumínio reforçado</t>
  </si>
  <si>
    <t xml:space="preserve">Com cerca elétrica</t>
  </si>
  <si>
    <t xml:space="preserve">Sem fio wireless</t>
  </si>
  <si>
    <t xml:space="preserve">Câmera detecção</t>
  </si>
  <si>
    <t xml:space="preserve">Leitura placas</t>
  </si>
  <si>
    <t xml:space="preserve">Condomínio vigilância</t>
  </si>
  <si>
    <t xml:space="preserve">Geminado</t>
  </si>
  <si>
    <t xml:space="preserve">Persianas metálicas</t>
  </si>
  <si>
    <t xml:space="preserve">Holofotes</t>
  </si>
  <si>
    <t xml:space="preserve">Smart app+backup</t>
  </si>
  <si>
    <t xml:space="preserve">Porta cofre</t>
  </si>
  <si>
    <t xml:space="preserve">Com botão pânico</t>
  </si>
  <si>
    <t xml:space="preserve">Câmeras PTZ</t>
  </si>
  <si>
    <t xml:space="preserve">Câmeras comunitárias</t>
  </si>
  <si>
    <t xml:space="preserve">Yale Doorman</t>
  </si>
  <si>
    <t xml:space="preserve">Magnética</t>
  </si>
  <si>
    <t xml:space="preserve">Combo eletrônica+mecânica</t>
  </si>
  <si>
    <t xml:space="preserve">CÁLCULO DE RISCO - PONTUAÇÃO AUTOMATIZADA</t>
  </si>
  <si>
    <t xml:space="preserve">CATEGORIA</t>
  </si>
  <si>
    <t xml:space="preserve">PONTOS PERDA</t>
  </si>
  <si>
    <t xml:space="preserve">PONTOS GANHO</t>
  </si>
  <si>
    <t xml:space="preserve">SUBTOTAL</t>
  </si>
  <si>
    <t xml:space="preserve">STATUS</t>
  </si>
  <si>
    <t xml:space="preserve">Perímetro e Estrutura</t>
  </si>
  <si>
    <t xml:space="preserve">Iluminação e Visibilidade</t>
  </si>
  <si>
    <t xml:space="preserve">Controle de Acesso</t>
  </si>
  <si>
    <t xml:space="preserve">Sistemas Eletrônicos</t>
  </si>
  <si>
    <t xml:space="preserve">Fatores Humanos</t>
  </si>
  <si>
    <t xml:space="preserve">PONTUAÇÃO TOTAL (0-100)</t>
  </si>
  <si>
    <t xml:space="preserve">CLASSIFICAÇÃO</t>
  </si>
  <si>
    <t xml:space="preserve">INDICADOR VISUAL</t>
  </si>
  <si>
    <t xml:space="preserve">RECOMENDAÇÕES PRIORITÁRIAS DE SEGURANÇA</t>
  </si>
  <si>
    <t xml:space="preserve">Prior.</t>
  </si>
  <si>
    <t xml:space="preserve">Vulnerabilidade</t>
  </si>
  <si>
    <t xml:space="preserve">Solução</t>
  </si>
  <si>
    <t xml:space="preserve">Produto</t>
  </si>
  <si>
    <t xml:space="preserve">Investimento</t>
  </si>
  <si>
    <t xml:space="preserve">Instalação</t>
  </si>
  <si>
    <t xml:space="preserve">Impacto</t>
  </si>
  <si>
    <t xml:space="preserve">Link</t>
  </si>
  <si>
    <t xml:space="preserve">Fechadura inadequada</t>
  </si>
  <si>
    <t xml:space="preserve">Substituir por deadbolt tetra</t>
  </si>
  <si>
    <t xml:space="preserve">Papaiz 510 / Yale 500</t>
  </si>
  <si>
    <t xml:space="preserve">R$ 180-250</t>
  </si>
  <si>
    <t xml:space="preserve">DIY 30min</t>
  </si>
  <si>
    <t xml:space="preserve">+25%</t>
  </si>
  <si>
    <t xml:space="preserve">mercadolivre</t>
  </si>
  <si>
    <t xml:space="preserve">Sem sistema de alarme</t>
  </si>
  <si>
    <t xml:space="preserve">Instalar central monitorada</t>
  </si>
  <si>
    <t xml:space="preserve">Verisure Starter</t>
  </si>
  <si>
    <t xml:space="preserve">R$ 89/mês</t>
  </si>
  <si>
    <t xml:space="preserve">Profissional</t>
  </si>
  <si>
    <t xml:space="preserve">+40%</t>
  </si>
  <si>
    <t xml:space="preserve">verisure.com.br</t>
  </si>
  <si>
    <t xml:space="preserve">Iluminação insuficiente</t>
  </si>
  <si>
    <t xml:space="preserve">Sensor PIR 180° externo</t>
  </si>
  <si>
    <t xml:space="preserve">Intelbras ESP 360 A</t>
  </si>
  <si>
    <t xml:space="preserve">R$ 65</t>
  </si>
  <si>
    <t xml:space="preserve">DIY 15min</t>
  </si>
  <si>
    <t xml:space="preserve">+15%</t>
  </si>
  <si>
    <t xml:space="preserve">Sem câmeras CFTV</t>
  </si>
  <si>
    <t xml:space="preserve">Kit 2 câmeras WiFi Full HD</t>
  </si>
  <si>
    <t xml:space="preserve">Tapo C200 / Intelbras</t>
  </si>
  <si>
    <t xml:space="preserve">R$ 320</t>
  </si>
  <si>
    <t xml:space="preserve">DIY 1h</t>
  </si>
  <si>
    <t xml:space="preserve">+20%</t>
  </si>
  <si>
    <t xml:space="preserve">Janelas sem proteção</t>
  </si>
  <si>
    <t xml:space="preserve">Instalar grades tubulares</t>
  </si>
  <si>
    <t xml:space="preserve">Serralheria local 25mm</t>
  </si>
  <si>
    <t xml:space="preserve">R$ 300/un</t>
  </si>
  <si>
    <t xml:space="preserve">+18%</t>
  </si>
  <si>
    <t xml:space="preserve">serralheiro</t>
  </si>
  <si>
    <t xml:space="preserve">Muro baixo (&lt;1,8m)</t>
  </si>
  <si>
    <t xml:space="preserve">Elevar para 2,2m + espículas</t>
  </si>
  <si>
    <t xml:space="preserve">Projeto customizado</t>
  </si>
  <si>
    <t xml:space="preserve">R$ 8.000+</t>
  </si>
  <si>
    <t xml:space="preserve">5 dias</t>
  </si>
  <si>
    <t xml:space="preserve">+35%</t>
  </si>
  <si>
    <t xml:space="preserve">pedreiro</t>
  </si>
  <si>
    <t xml:space="preserve">AUTOMAÇÃO</t>
  </si>
  <si>
    <t xml:space="preserve">Ausências prolongadas</t>
  </si>
  <si>
    <t xml:space="preserve">Timer smart para luzes</t>
  </si>
  <si>
    <t xml:space="preserve">Positivo Casa Inteligente</t>
  </si>
  <si>
    <t xml:space="preserve">R$ 45</t>
  </si>
  <si>
    <t xml:space="preserve">DIY 5min</t>
  </si>
  <si>
    <t xml:space="preserve">+8%</t>
  </si>
  <si>
    <t xml:space="preserve">RESUMO DE INVESTIMENTO</t>
  </si>
  <si>
    <t xml:space="preserve">Prioridade 1 (Crítico - implementar em 7 dias)</t>
  </si>
  <si>
    <t xml:space="preserve">R$ 500-1.000</t>
  </si>
  <si>
    <t xml:space="preserve">Prioridade 2 (Importante - implementar em 30 dias)</t>
  </si>
  <si>
    <t xml:space="preserve">R$ 800-1.500</t>
  </si>
  <si>
    <t xml:space="preserve">Prioridade 3 (Melhorias - implementar em 90 dias)</t>
  </si>
  <si>
    <t xml:space="preserve">INVESTIMENTO TOTAL ESTIMADO</t>
  </si>
  <si>
    <t xml:space="preserve">R$ 9.300-10.500</t>
  </si>
  <si>
    <t xml:space="preserve">🏠 CASA BLINDADA - AUDITORIA DE SEGURANÇA RESIDENCIAL 2026</t>
  </si>
  <si>
    <t xml:space="preserve">Data de Emissão: 01/02/2026</t>
  </si>
  <si>
    <t xml:space="preserve">Código Auditoria: AUD-2026-</t>
  </si>
  <si>
    <t xml:space="preserve">⚠️ CONFIDENCIAL - USO PESSOAL</t>
  </si>
  <si>
    <t xml:space="preserve">1. RESUMO EXECUTIVO</t>
  </si>
  <si>
    <t xml:space="preserve">PONTUAÇÃO DE SEGURANÇA:</t>
  </si>
  <si>
    <t xml:space="preserve">/ 100</t>
  </si>
  <si>
    <t xml:space="preserve">CLASSIFICAÇÃO:</t>
  </si>
  <si>
    <t xml:space="preserve">2. ANÁLISE POR CATEGORIA</t>
  </si>
  <si>
    <t xml:space="preserve">Status</t>
  </si>
  <si>
    <t xml:space="preserve">Pontuação</t>
  </si>
  <si>
    <t xml:space="preserve">⚠️</t>
  </si>
  <si>
    <t xml:space="preserve">45/100</t>
  </si>
  <si>
    <t xml:space="preserve">Muro baixo, janelas desprotegidas</t>
  </si>
  <si>
    <t xml:space="preserve">Iluminação</t>
  </si>
  <si>
    <t xml:space="preserve">❌</t>
  </si>
  <si>
    <t xml:space="preserve">30/100</t>
  </si>
  <si>
    <t xml:space="preserve">55/100</t>
  </si>
  <si>
    <t xml:space="preserve">Fechaduras básicas</t>
  </si>
  <si>
    <t xml:space="preserve">25/100</t>
  </si>
  <si>
    <t xml:space="preserve">Sem alarme e câmeras</t>
  </si>
  <si>
    <t xml:space="preserve">🟢</t>
  </si>
  <si>
    <t xml:space="preserve">70/100</t>
  </si>
  <si>
    <t xml:space="preserve">Presença e vizinhança ativa</t>
  </si>
  <si>
    <t xml:space="preserve">3. TOP 5 VULNERABILIDADES CRÍTICAS</t>
  </si>
  <si>
    <t xml:space="preserve">1. Ausência de sistema de alarme monitorado (-15 pontos)</t>
  </si>
  <si>
    <t xml:space="preserve">2. Fechaduras comuns na porta principal (-10 pontos)</t>
  </si>
  <si>
    <t xml:space="preserve">3. Muro baixo ou inexistente (-15 pontos)</t>
  </si>
  <si>
    <t xml:space="preserve">4. Janelas acessíveis sem grades (-10 pontos)</t>
  </si>
  <si>
    <t xml:space="preserve">5. Iluminação externa inadequada (-8 pontos)</t>
  </si>
  <si>
    <t xml:space="preserve">4. CRONOGRAMA DE IMPLEMENTAÇÃO</t>
  </si>
  <si>
    <t xml:space="preserve">Semana 1 (Dias 1-7): Fechaduras + sensores porta/janela</t>
  </si>
  <si>
    <t xml:space="preserve">Semana 2 (Dias 8-14): Iluminação externa + câmera entrada</t>
  </si>
  <si>
    <t xml:space="preserve">Semana 3 (Dias 15-21): Alarme monitorado (agendamento técnico)</t>
  </si>
  <si>
    <t xml:space="preserve">Semana 4 (Dias 22-30): Reforços estruturais + testes</t>
  </si>
  <si>
    <t xml:space="preserve">5. ORÇAMENTO TOTAL</t>
  </si>
  <si>
    <t xml:space="preserve">Investimento Imediato (Prioridade 1):</t>
  </si>
  <si>
    <t xml:space="preserve">Melhorias Graduais (Prioridade 2-3):</t>
  </si>
  <si>
    <t xml:space="preserve">R$ 8.800-9.500</t>
  </si>
  <si>
    <t xml:space="preserve">CUSTO TOTAL:</t>
  </si>
  <si>
    <t xml:space="preserve">Documento gerado automaticamente | Casa Blindada Auditoria v3.0 | Validade: 6 meses</t>
  </si>
  <si>
    <t xml:space="preserve">Consultoria técnica: contato@casablindada.com.br | Para dúvidas, acesse nosso suporte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</si>
</sst>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C0392B"/>
      <name val="Calibri"/>
      <family val="0"/>
      <charset val="1"/>
    </font>
    <font>
      <i val="true"/>
      <sz val="10"/>
      <color rgb="FFE67E2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color rgb="FF27AE6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27AE6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b val="true"/>
      <sz val="24"/>
      <color rgb="FF27AE60"/>
      <name val="Calibri"/>
      <family val="0"/>
      <charset val="1"/>
    </font>
    <font>
      <sz val="14"/>
      <name val="Calibri"/>
      <family val="0"/>
      <charset val="1"/>
    </font>
    <font>
      <b val="true"/>
      <sz val="12"/>
      <color rgb="FFE67E22"/>
      <name val="Calibri"/>
      <family val="0"/>
      <charset val="1"/>
    </font>
    <font>
      <i val="true"/>
      <sz val="8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A52"/>
        <bgColor rgb="FF2C3E50"/>
      </patternFill>
    </fill>
    <fill>
      <patternFill patternType="solid">
        <fgColor rgb="FF2C3E50"/>
        <bgColor rgb="FF1A3A52"/>
      </patternFill>
    </fill>
    <fill>
      <patternFill patternType="solid">
        <fgColor rgb="FFECF0F1"/>
        <bgColor rgb="FFFFF4E6"/>
      </patternFill>
    </fill>
    <fill>
      <patternFill patternType="solid">
        <fgColor rgb="FFFFF4E6"/>
        <bgColor rgb="FFECF0F1"/>
      </patternFill>
    </fill>
    <fill>
      <patternFill patternType="solid">
        <fgColor rgb="FFC0392B"/>
        <bgColor rgb="FF993366"/>
      </patternFill>
    </fill>
    <fill>
      <patternFill patternType="solid">
        <fgColor rgb="FFF39C12"/>
        <bgColor rgb="FFE67E22"/>
      </patternFill>
    </fill>
    <fill>
      <patternFill patternType="solid">
        <fgColor rgb="FF27AE6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6"/>
      <rgbColor rgb="FFECF0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67E22"/>
      <rgbColor rgb="FF666699"/>
      <rgbColor rgb="FF969696"/>
      <rgbColor rgb="FF1A3A52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35"/>
    <col collapsed="false" customWidth="true" hidden="true" outlineLevel="0" max="5" min="5" style="0" width="8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4" t="s">
        <v>8</v>
      </c>
      <c r="C3" s="3" t="s">
        <v>9</v>
      </c>
      <c r="D3" s="5"/>
      <c r="E3" s="3" t="n">
        <v>15</v>
      </c>
      <c r="F3" s="3"/>
    </row>
    <row r="4" customFormat="false" ht="15" hidden="false" customHeight="false" outlineLevel="0" collapsed="false">
      <c r="A4" s="3" t="s">
        <v>10</v>
      </c>
      <c r="B4" s="4" t="s">
        <v>8</v>
      </c>
      <c r="C4" s="3" t="s">
        <v>11</v>
      </c>
      <c r="D4" s="5"/>
      <c r="E4" s="3" t="n">
        <v>5</v>
      </c>
      <c r="F4" s="3"/>
    </row>
    <row r="5" customFormat="false" ht="15" hidden="false" customHeight="false" outlineLevel="0" collapsed="false">
      <c r="A5" s="3" t="s">
        <v>12</v>
      </c>
      <c r="B5" s="4" t="s">
        <v>8</v>
      </c>
      <c r="C5" s="3" t="s">
        <v>13</v>
      </c>
      <c r="D5" s="5"/>
      <c r="E5" s="3" t="n">
        <v>15</v>
      </c>
      <c r="F5" s="3"/>
    </row>
    <row r="6" customFormat="false" ht="15" hidden="false" customHeight="false" outlineLevel="0" collapsed="false">
      <c r="A6" s="3" t="s">
        <v>14</v>
      </c>
      <c r="B6" s="4" t="s">
        <v>8</v>
      </c>
      <c r="C6" s="3" t="s">
        <v>15</v>
      </c>
      <c r="D6" s="5"/>
      <c r="E6" s="3" t="n">
        <v>8</v>
      </c>
      <c r="F6" s="3"/>
    </row>
    <row r="7" customFormat="false" ht="15" hidden="false" customHeight="false" outlineLevel="0" collapsed="false">
      <c r="A7" s="3" t="s">
        <v>16</v>
      </c>
      <c r="B7" s="4" t="s">
        <v>8</v>
      </c>
      <c r="C7" s="3" t="s">
        <v>17</v>
      </c>
      <c r="D7" s="5"/>
      <c r="E7" s="3" t="n">
        <v>10</v>
      </c>
      <c r="F7" s="3"/>
    </row>
    <row r="8" customFormat="false" ht="15" hidden="false" customHeight="false" outlineLevel="0" collapsed="false">
      <c r="A8" s="3" t="s">
        <v>18</v>
      </c>
      <c r="B8" s="4" t="s">
        <v>8</v>
      </c>
      <c r="C8" s="3" t="s">
        <v>19</v>
      </c>
      <c r="D8" s="5"/>
      <c r="E8" s="3" t="n">
        <v>5</v>
      </c>
      <c r="F8" s="3"/>
    </row>
    <row r="9" customFormat="false" ht="15" hidden="false" customHeight="false" outlineLevel="0" collapsed="false">
      <c r="A9" s="3" t="s">
        <v>20</v>
      </c>
      <c r="B9" s="4" t="s">
        <v>8</v>
      </c>
      <c r="C9" s="3" t="s">
        <v>21</v>
      </c>
      <c r="D9" s="5"/>
      <c r="E9" s="3" t="n">
        <v>10</v>
      </c>
      <c r="F9" s="3"/>
    </row>
    <row r="10" customFormat="false" ht="15" hidden="false" customHeight="false" outlineLevel="0" collapsed="false">
      <c r="A10" s="3" t="s">
        <v>22</v>
      </c>
      <c r="B10" s="4" t="s">
        <v>23</v>
      </c>
      <c r="C10" s="3" t="s">
        <v>24</v>
      </c>
      <c r="D10" s="5"/>
      <c r="E10" s="3" t="n">
        <v>8</v>
      </c>
      <c r="F10" s="3"/>
    </row>
    <row r="11" customFormat="false" ht="15" hidden="false" customHeight="false" outlineLevel="0" collapsed="false">
      <c r="A11" s="3" t="s">
        <v>25</v>
      </c>
      <c r="B11" s="4" t="s">
        <v>23</v>
      </c>
      <c r="C11" s="3" t="s">
        <v>26</v>
      </c>
      <c r="D11" s="5"/>
      <c r="E11" s="3" t="n">
        <v>5</v>
      </c>
      <c r="F11" s="3"/>
    </row>
    <row r="12" customFormat="false" ht="15" hidden="false" customHeight="false" outlineLevel="0" collapsed="false">
      <c r="A12" s="3" t="s">
        <v>27</v>
      </c>
      <c r="B12" s="4" t="s">
        <v>23</v>
      </c>
      <c r="C12" s="3" t="s">
        <v>28</v>
      </c>
      <c r="D12" s="5"/>
      <c r="E12" s="3" t="n">
        <v>3</v>
      </c>
      <c r="F12" s="3"/>
    </row>
    <row r="13" customFormat="false" ht="15" hidden="false" customHeight="false" outlineLevel="0" collapsed="false">
      <c r="A13" s="3" t="s">
        <v>29</v>
      </c>
      <c r="B13" s="4" t="s">
        <v>23</v>
      </c>
      <c r="C13" s="3" t="s">
        <v>30</v>
      </c>
      <c r="D13" s="5"/>
      <c r="E13" s="3" t="n">
        <v>5</v>
      </c>
      <c r="F13" s="3"/>
    </row>
    <row r="14" customFormat="false" ht="15" hidden="false" customHeight="false" outlineLevel="0" collapsed="false">
      <c r="A14" s="3" t="s">
        <v>31</v>
      </c>
      <c r="B14" s="4" t="s">
        <v>32</v>
      </c>
      <c r="C14" s="3" t="s">
        <v>33</v>
      </c>
      <c r="D14" s="5"/>
      <c r="E14" s="3" t="n">
        <v>10</v>
      </c>
      <c r="F14" s="3"/>
    </row>
    <row r="15" customFormat="false" ht="15" hidden="false" customHeight="false" outlineLevel="0" collapsed="false">
      <c r="A15" s="3" t="s">
        <v>34</v>
      </c>
      <c r="B15" s="4" t="s">
        <v>32</v>
      </c>
      <c r="C15" s="3" t="s">
        <v>35</v>
      </c>
      <c r="D15" s="5"/>
      <c r="E15" s="3" t="n">
        <v>8</v>
      </c>
      <c r="F15" s="3"/>
    </row>
    <row r="16" customFormat="false" ht="15" hidden="false" customHeight="false" outlineLevel="0" collapsed="false">
      <c r="A16" s="3" t="s">
        <v>36</v>
      </c>
      <c r="B16" s="4" t="s">
        <v>32</v>
      </c>
      <c r="C16" s="3" t="s">
        <v>37</v>
      </c>
      <c r="D16" s="5"/>
      <c r="E16" s="3" t="n">
        <v>5</v>
      </c>
      <c r="F16" s="3"/>
    </row>
    <row r="17" customFormat="false" ht="15" hidden="false" customHeight="false" outlineLevel="0" collapsed="false">
      <c r="A17" s="3" t="s">
        <v>38</v>
      </c>
      <c r="B17" s="4" t="s">
        <v>32</v>
      </c>
      <c r="C17" s="3" t="s">
        <v>39</v>
      </c>
      <c r="D17" s="5"/>
      <c r="E17" s="3" t="n">
        <v>7</v>
      </c>
      <c r="F17" s="3"/>
    </row>
    <row r="18" customFormat="false" ht="15" hidden="false" customHeight="false" outlineLevel="0" collapsed="false">
      <c r="A18" s="3" t="s">
        <v>40</v>
      </c>
      <c r="B18" s="4" t="s">
        <v>32</v>
      </c>
      <c r="C18" s="3" t="s">
        <v>41</v>
      </c>
      <c r="D18" s="5"/>
      <c r="E18" s="3" t="n">
        <v>6</v>
      </c>
      <c r="F18" s="3"/>
    </row>
    <row r="19" customFormat="false" ht="15" hidden="false" customHeight="false" outlineLevel="0" collapsed="false">
      <c r="A19" s="3" t="s">
        <v>42</v>
      </c>
      <c r="B19" s="4" t="s">
        <v>43</v>
      </c>
      <c r="C19" s="3" t="s">
        <v>44</v>
      </c>
      <c r="D19" s="5"/>
      <c r="E19" s="3" t="n">
        <v>15</v>
      </c>
      <c r="F19" s="3"/>
    </row>
    <row r="20" customFormat="false" ht="15" hidden="false" customHeight="false" outlineLevel="0" collapsed="false">
      <c r="A20" s="3" t="s">
        <v>45</v>
      </c>
      <c r="B20" s="4" t="s">
        <v>43</v>
      </c>
      <c r="C20" s="3" t="s">
        <v>46</v>
      </c>
      <c r="D20" s="5"/>
      <c r="E20" s="3" t="n">
        <v>8</v>
      </c>
      <c r="F20" s="3"/>
    </row>
    <row r="21" customFormat="false" ht="15" hidden="false" customHeight="false" outlineLevel="0" collapsed="false">
      <c r="A21" s="3" t="s">
        <v>47</v>
      </c>
      <c r="B21" s="4" t="s">
        <v>43</v>
      </c>
      <c r="C21" s="3" t="s">
        <v>48</v>
      </c>
      <c r="D21" s="5"/>
      <c r="E21" s="3" t="n">
        <v>7</v>
      </c>
      <c r="F21" s="3"/>
    </row>
    <row r="22" customFormat="false" ht="15" hidden="false" customHeight="false" outlineLevel="0" collapsed="false">
      <c r="A22" s="3" t="s">
        <v>49</v>
      </c>
      <c r="B22" s="4" t="s">
        <v>43</v>
      </c>
      <c r="C22" s="3" t="s">
        <v>50</v>
      </c>
      <c r="D22" s="5"/>
      <c r="E22" s="3" t="n">
        <v>8</v>
      </c>
      <c r="F22" s="3"/>
    </row>
    <row r="23" customFormat="false" ht="15" hidden="false" customHeight="false" outlineLevel="0" collapsed="false">
      <c r="A23" s="3" t="s">
        <v>51</v>
      </c>
      <c r="B23" s="4" t="s">
        <v>43</v>
      </c>
      <c r="C23" s="3" t="s">
        <v>52</v>
      </c>
      <c r="D23" s="5"/>
      <c r="E23" s="3" t="n">
        <v>4</v>
      </c>
      <c r="F23" s="3"/>
    </row>
    <row r="24" customFormat="false" ht="15" hidden="false" customHeight="false" outlineLevel="0" collapsed="false">
      <c r="A24" s="3" t="s">
        <v>53</v>
      </c>
      <c r="B24" s="4" t="s">
        <v>43</v>
      </c>
      <c r="C24" s="3" t="s">
        <v>54</v>
      </c>
      <c r="D24" s="5"/>
      <c r="E24" s="3" t="n">
        <v>3</v>
      </c>
      <c r="F24" s="3"/>
    </row>
    <row r="25" customFormat="false" ht="15" hidden="false" customHeight="false" outlineLevel="0" collapsed="false">
      <c r="A25" s="3" t="s">
        <v>55</v>
      </c>
      <c r="B25" s="4" t="s">
        <v>43</v>
      </c>
      <c r="C25" s="3" t="s">
        <v>56</v>
      </c>
      <c r="D25" s="5"/>
      <c r="E25" s="3" t="n">
        <v>5</v>
      </c>
      <c r="F25" s="3"/>
    </row>
    <row r="26" customFormat="false" ht="15" hidden="false" customHeight="false" outlineLevel="0" collapsed="false">
      <c r="A26" s="3" t="s">
        <v>57</v>
      </c>
      <c r="B26" s="4" t="s">
        <v>43</v>
      </c>
      <c r="C26" s="3" t="s">
        <v>58</v>
      </c>
      <c r="D26" s="5"/>
      <c r="E26" s="3" t="n">
        <v>6</v>
      </c>
      <c r="F26" s="3"/>
    </row>
    <row r="27" customFormat="false" ht="15" hidden="false" customHeight="false" outlineLevel="0" collapsed="false">
      <c r="A27" s="3" t="s">
        <v>59</v>
      </c>
      <c r="B27" s="4" t="s">
        <v>60</v>
      </c>
      <c r="C27" s="3" t="s">
        <v>61</v>
      </c>
      <c r="D27" s="5"/>
      <c r="E27" s="3" t="n">
        <v>7</v>
      </c>
      <c r="F27" s="3"/>
    </row>
    <row r="28" customFormat="false" ht="15" hidden="false" customHeight="false" outlineLevel="0" collapsed="false">
      <c r="A28" s="3" t="s">
        <v>62</v>
      </c>
      <c r="B28" s="4" t="s">
        <v>60</v>
      </c>
      <c r="C28" s="3" t="s">
        <v>63</v>
      </c>
      <c r="D28" s="5"/>
      <c r="E28" s="3" t="n">
        <v>6</v>
      </c>
      <c r="F28" s="3"/>
    </row>
    <row r="29" customFormat="false" ht="15" hidden="false" customHeight="false" outlineLevel="0" collapsed="false">
      <c r="A29" s="3" t="s">
        <v>64</v>
      </c>
      <c r="B29" s="4" t="s">
        <v>60</v>
      </c>
      <c r="C29" s="3" t="s">
        <v>65</v>
      </c>
      <c r="D29" s="5"/>
      <c r="E29" s="3" t="n">
        <v>6</v>
      </c>
      <c r="F29" s="3"/>
    </row>
    <row r="30" customFormat="false" ht="15" hidden="false" customHeight="false" outlineLevel="0" collapsed="false">
      <c r="A30" s="3" t="s">
        <v>66</v>
      </c>
      <c r="B30" s="4" t="s">
        <v>60</v>
      </c>
      <c r="C30" s="3" t="s">
        <v>67</v>
      </c>
      <c r="D30" s="5"/>
      <c r="E30" s="3" t="n">
        <v>10</v>
      </c>
      <c r="F30" s="3"/>
    </row>
    <row r="31" customFormat="false" ht="15" hidden="false" customHeight="false" outlineLevel="0" collapsed="false">
      <c r="A31" s="3" t="s">
        <v>68</v>
      </c>
      <c r="B31" s="4" t="s">
        <v>60</v>
      </c>
      <c r="C31" s="3" t="s">
        <v>69</v>
      </c>
      <c r="D31" s="5"/>
      <c r="E31" s="3" t="n">
        <v>5</v>
      </c>
      <c r="F31" s="3"/>
    </row>
    <row r="32" customFormat="false" ht="15" hidden="false" customHeight="false" outlineLevel="0" collapsed="false">
      <c r="A32" s="3" t="s">
        <v>70</v>
      </c>
      <c r="B32" s="4" t="s">
        <v>60</v>
      </c>
      <c r="C32" s="3" t="s">
        <v>71</v>
      </c>
      <c r="D32" s="5"/>
      <c r="E32" s="3" t="n">
        <v>5</v>
      </c>
      <c r="F32" s="3"/>
    </row>
    <row r="33" customFormat="false" ht="15" hidden="false" customHeight="false" outlineLevel="0" collapsed="false">
      <c r="A33" s="3" t="s">
        <v>72</v>
      </c>
      <c r="B33" s="4" t="s">
        <v>60</v>
      </c>
      <c r="C33" s="3" t="s">
        <v>73</v>
      </c>
      <c r="D33" s="5"/>
      <c r="E33" s="3" t="n">
        <v>8</v>
      </c>
      <c r="F33" s="3"/>
    </row>
    <row r="34" customFormat="false" ht="15" hidden="false" customHeight="false" outlineLevel="0" collapsed="false">
      <c r="A34" s="3" t="s">
        <v>74</v>
      </c>
      <c r="B34" s="4" t="s">
        <v>60</v>
      </c>
      <c r="C34" s="3" t="s">
        <v>75</v>
      </c>
      <c r="D34" s="5"/>
      <c r="E34" s="3" t="n">
        <v>10</v>
      </c>
      <c r="F34" s="3"/>
    </row>
    <row r="36" customFormat="false" ht="30" hidden="false" customHeight="true" outlineLevel="0" collapsed="false">
      <c r="A36" s="6" t="s">
        <v>76</v>
      </c>
      <c r="B36" s="6"/>
      <c r="C36" s="6"/>
      <c r="D36" s="6"/>
      <c r="E36" s="6"/>
      <c r="F36" s="6"/>
    </row>
  </sheetData>
  <mergeCells count="2">
    <mergeCell ref="A1:F1"/>
    <mergeCell ref="A36:F36"/>
  </mergeCells>
  <dataValidations count="32"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3" type="list">
      <formula1>LISTAS_OPCOES!$A$2:$A$19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4" type="list">
      <formula1>LISTAS_OPCOES!$B$2:$B$13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5" type="list">
      <formula1>LISTAS_OPCOES!$C$2:$C$18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6" type="list">
      <formula1>LISTAS_OPCOES!$D$2:$D$11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7" type="list">
      <formula1>LISTAS_OPCOES!$E$2:$E$13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8" type="list">
      <formula1>LISTAS_OPCOES!$F$2:$F$17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9" type="list">
      <formula1>LISTAS_OPCOES!$G$2:$G$19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0" type="list">
      <formula1>LISTAS_OPCOES!$H$2:$H$19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1" type="list">
      <formula1>LISTAS_OPCOES!$I$2:$I$14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2" type="list">
      <formula1>LISTAS_OPCOES!$J$2:$J$12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3" type="list">
      <formula1>LISTAS_OPCOES!$K$2:$K$13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4" type="list">
      <formula1>LISTAS_OPCOES!$L$2:$L$22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5" type="list">
      <formula1>LISTAS_OPCOES!$M$2:$M$19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6" type="list">
      <formula1>LISTAS_OPCOES!$N$2:$N$14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7" type="list">
      <formula1>LISTAS_OPCOES!$O$2:$O$13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8" type="list">
      <formula1>LISTAS_OPCOES!$P$2:$P$15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19" type="list">
      <formula1>LISTAS_OPCOES!$Q$2:$Q$19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0" type="list">
      <formula1>LISTAS_OPCOES!$R$2:$R$18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1" type="list">
      <formula1>LISTAS_OPCOES!$S$2:$S$18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2" type="list">
      <formula1>LISTAS_OPCOES!$T$2:$T$19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3" type="list">
      <formula1>LISTAS_OPCOES!$U$2:$U$16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4" type="list">
      <formula1>LISTAS_OPCOES!$V$2:$V$17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5" type="list">
      <formula1>LISTAS_OPCOES!$W$2:$W$15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6" type="list">
      <formula1>LISTAS_OPCOES!$X$2:$X$17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7" type="list">
      <formula1>LISTAS_OPCOES!$Y$2:$Y$15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8" type="list">
      <formula1>LISTAS_OPCOES!$Z$2:$Z$14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29" type="list">
      <formula1>LISTAS_OPCOES!$AA$2:$AA$16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30" type="list">
      <formula1>LISTAS_OPCOES!$AB$2:$AB$19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31" type="list">
      <formula1>LISTAS_OPCOES!$AC$2:$AC$15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32" type="list">
      <formula1>LISTAS_OPCOES!$AD$2:$AD$14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33" type="list">
      <formula1>LISTAS_OPCOES!$AE$2:$AE$15</formula1>
      <formula2>0</formula2>
    </dataValidation>
    <dataValidation allowBlank="false" error="Selecione uma opção válida da lista" errorStyle="stop" errorTitle="Entrada Inválida" operator="between" prompt="Escolha uma opção. Se nenhuma se aplicar, selecione &quot;Outro (especificar)&quot; e detalhe nas Observações." promptTitle="Seleção de Resposta" showDropDown="false" showErrorMessage="false" showInputMessage="false" sqref="D34" type="list">
      <formula1>LISTAS_OPCOES!$AF$2:$AF$14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10</v>
      </c>
      <c r="C1" s="0" t="s">
        <v>12</v>
      </c>
      <c r="D1" s="0" t="s">
        <v>14</v>
      </c>
      <c r="E1" s="0" t="s">
        <v>16</v>
      </c>
      <c r="F1" s="0" t="s">
        <v>18</v>
      </c>
      <c r="G1" s="0" t="s">
        <v>20</v>
      </c>
      <c r="H1" s="0" t="s">
        <v>22</v>
      </c>
      <c r="I1" s="0" t="s">
        <v>25</v>
      </c>
      <c r="J1" s="0" t="s">
        <v>27</v>
      </c>
      <c r="K1" s="0" t="s">
        <v>29</v>
      </c>
      <c r="L1" s="0" t="s">
        <v>31</v>
      </c>
      <c r="M1" s="0" t="s">
        <v>34</v>
      </c>
      <c r="N1" s="0" t="s">
        <v>36</v>
      </c>
      <c r="O1" s="0" t="s">
        <v>38</v>
      </c>
      <c r="P1" s="0" t="s">
        <v>40</v>
      </c>
      <c r="Q1" s="0" t="s">
        <v>42</v>
      </c>
      <c r="R1" s="0" t="s">
        <v>45</v>
      </c>
      <c r="S1" s="0" t="s">
        <v>47</v>
      </c>
      <c r="T1" s="0" t="s">
        <v>49</v>
      </c>
      <c r="U1" s="0" t="s">
        <v>51</v>
      </c>
      <c r="V1" s="0" t="s">
        <v>53</v>
      </c>
      <c r="W1" s="0" t="s">
        <v>55</v>
      </c>
      <c r="X1" s="0" t="s">
        <v>57</v>
      </c>
      <c r="Y1" s="0" t="s">
        <v>59</v>
      </c>
      <c r="Z1" s="0" t="s">
        <v>62</v>
      </c>
      <c r="AA1" s="0" t="s">
        <v>64</v>
      </c>
      <c r="AB1" s="0" t="s">
        <v>66</v>
      </c>
      <c r="AC1" s="0" t="s">
        <v>68</v>
      </c>
      <c r="AD1" s="0" t="s">
        <v>70</v>
      </c>
      <c r="AE1" s="0" t="s">
        <v>72</v>
      </c>
      <c r="AF1" s="0" t="s">
        <v>74</v>
      </c>
    </row>
    <row r="2" customFormat="false" ht="15" hidden="false" customHeight="false" outlineLevel="0" collapsed="false">
      <c r="A2" s="0" t="s">
        <v>77</v>
      </c>
      <c r="B2" s="0" t="s">
        <v>78</v>
      </c>
      <c r="C2" s="0" t="s">
        <v>79</v>
      </c>
      <c r="D2" s="0" t="s">
        <v>80</v>
      </c>
      <c r="E2" s="0" t="s">
        <v>81</v>
      </c>
      <c r="F2" s="0" t="s">
        <v>82</v>
      </c>
      <c r="G2" s="0" t="s">
        <v>83</v>
      </c>
      <c r="H2" s="0" t="s">
        <v>84</v>
      </c>
      <c r="I2" s="0" t="s">
        <v>85</v>
      </c>
      <c r="J2" s="0" t="s">
        <v>82</v>
      </c>
      <c r="K2" s="0" t="s">
        <v>86</v>
      </c>
      <c r="L2" s="0" t="s">
        <v>87</v>
      </c>
      <c r="M2" s="0" t="s">
        <v>88</v>
      </c>
      <c r="N2" s="0" t="s">
        <v>84</v>
      </c>
      <c r="O2" s="0" t="s">
        <v>89</v>
      </c>
      <c r="P2" s="0" t="s">
        <v>82</v>
      </c>
      <c r="Q2" s="0" t="s">
        <v>82</v>
      </c>
      <c r="R2" s="0" t="s">
        <v>79</v>
      </c>
      <c r="S2" s="0" t="s">
        <v>79</v>
      </c>
      <c r="T2" s="0" t="s">
        <v>84</v>
      </c>
      <c r="U2" s="0" t="s">
        <v>90</v>
      </c>
      <c r="V2" s="0" t="s">
        <v>90</v>
      </c>
      <c r="W2" s="0" t="s">
        <v>82</v>
      </c>
      <c r="X2" s="0" t="s">
        <v>84</v>
      </c>
      <c r="Y2" s="0" t="s">
        <v>91</v>
      </c>
      <c r="Z2" s="0" t="s">
        <v>92</v>
      </c>
      <c r="AA2" s="0" t="s">
        <v>82</v>
      </c>
      <c r="AB2" s="0" t="s">
        <v>93</v>
      </c>
      <c r="AC2" s="0" t="s">
        <v>94</v>
      </c>
      <c r="AD2" s="0" t="s">
        <v>95</v>
      </c>
      <c r="AE2" s="0" t="s">
        <v>79</v>
      </c>
      <c r="AF2" s="0" t="s">
        <v>96</v>
      </c>
    </row>
    <row r="3" customFormat="false" ht="15" hidden="false" customHeight="false" outlineLevel="0" collapsed="false">
      <c r="A3" s="0" t="s">
        <v>97</v>
      </c>
      <c r="B3" s="0" t="s">
        <v>98</v>
      </c>
      <c r="C3" s="0" t="s">
        <v>99</v>
      </c>
      <c r="D3" s="0" t="s">
        <v>100</v>
      </c>
      <c r="E3" s="0" t="s">
        <v>101</v>
      </c>
      <c r="F3" s="0" t="s">
        <v>102</v>
      </c>
      <c r="G3" s="0" t="s">
        <v>103</v>
      </c>
      <c r="H3" s="0" t="s">
        <v>104</v>
      </c>
      <c r="I3" s="0" t="s">
        <v>105</v>
      </c>
      <c r="J3" s="0" t="s">
        <v>106</v>
      </c>
      <c r="K3" s="0" t="s">
        <v>107</v>
      </c>
      <c r="L3" s="0" t="s">
        <v>108</v>
      </c>
      <c r="M3" s="0" t="s">
        <v>109</v>
      </c>
      <c r="N3" s="0" t="s">
        <v>110</v>
      </c>
      <c r="O3" s="0" t="s">
        <v>111</v>
      </c>
      <c r="P3" s="0" t="s">
        <v>112</v>
      </c>
      <c r="Q3" s="0" t="s">
        <v>113</v>
      </c>
      <c r="R3" s="0" t="s">
        <v>114</v>
      </c>
      <c r="S3" s="0" t="s">
        <v>115</v>
      </c>
      <c r="T3" s="0" t="s">
        <v>116</v>
      </c>
      <c r="U3" s="0" t="s">
        <v>117</v>
      </c>
      <c r="V3" s="0" t="s">
        <v>118</v>
      </c>
      <c r="W3" s="0" t="s">
        <v>119</v>
      </c>
      <c r="X3" s="0" t="s">
        <v>120</v>
      </c>
      <c r="Y3" s="0" t="s">
        <v>121</v>
      </c>
      <c r="Z3" s="0" t="s">
        <v>122</v>
      </c>
      <c r="AA3" s="0" t="s">
        <v>123</v>
      </c>
      <c r="AB3" s="0" t="s">
        <v>124</v>
      </c>
      <c r="AC3" s="0" t="s">
        <v>125</v>
      </c>
      <c r="AD3" s="0" t="s">
        <v>126</v>
      </c>
      <c r="AE3" s="0" t="s">
        <v>127</v>
      </c>
      <c r="AF3" s="0" t="s">
        <v>128</v>
      </c>
    </row>
    <row r="4" customFormat="false" ht="15" hidden="false" customHeight="false" outlineLevel="0" collapsed="false">
      <c r="A4" s="0" t="s">
        <v>129</v>
      </c>
      <c r="B4" s="0" t="s">
        <v>130</v>
      </c>
      <c r="C4" s="0" t="s">
        <v>131</v>
      </c>
      <c r="D4" s="0" t="s">
        <v>132</v>
      </c>
      <c r="E4" s="0" t="s">
        <v>133</v>
      </c>
      <c r="F4" s="0" t="s">
        <v>134</v>
      </c>
      <c r="G4" s="0" t="s">
        <v>135</v>
      </c>
      <c r="H4" s="0" t="s">
        <v>136</v>
      </c>
      <c r="I4" s="0" t="s">
        <v>137</v>
      </c>
      <c r="J4" s="0" t="s">
        <v>138</v>
      </c>
      <c r="K4" s="0" t="s">
        <v>139</v>
      </c>
      <c r="L4" s="0" t="s">
        <v>140</v>
      </c>
      <c r="M4" s="0" t="s">
        <v>141</v>
      </c>
      <c r="N4" s="0" t="s">
        <v>142</v>
      </c>
      <c r="O4" s="0" t="s">
        <v>143</v>
      </c>
      <c r="P4" s="0" t="s">
        <v>144</v>
      </c>
      <c r="Q4" s="0" t="s">
        <v>145</v>
      </c>
      <c r="R4" s="0" t="s">
        <v>146</v>
      </c>
      <c r="S4" s="0" t="s">
        <v>147</v>
      </c>
      <c r="T4" s="0" t="s">
        <v>148</v>
      </c>
      <c r="U4" s="0" t="s">
        <v>149</v>
      </c>
      <c r="V4" s="0" t="s">
        <v>150</v>
      </c>
      <c r="W4" s="0" t="s">
        <v>151</v>
      </c>
      <c r="X4" s="0" t="s">
        <v>152</v>
      </c>
      <c r="Y4" s="0" t="s">
        <v>153</v>
      </c>
      <c r="Z4" s="0" t="s">
        <v>154</v>
      </c>
      <c r="AA4" s="0" t="s">
        <v>155</v>
      </c>
      <c r="AB4" s="0" t="s">
        <v>156</v>
      </c>
      <c r="AC4" s="0" t="s">
        <v>157</v>
      </c>
      <c r="AD4" s="0" t="s">
        <v>158</v>
      </c>
      <c r="AE4" s="0" t="s">
        <v>159</v>
      </c>
      <c r="AF4" s="0" t="s">
        <v>160</v>
      </c>
    </row>
    <row r="5" customFormat="false" ht="15" hidden="false" customHeight="false" outlineLevel="0" collapsed="false">
      <c r="A5" s="0" t="s">
        <v>161</v>
      </c>
      <c r="B5" s="0" t="s">
        <v>162</v>
      </c>
      <c r="C5" s="0" t="s">
        <v>163</v>
      </c>
      <c r="D5" s="0" t="s">
        <v>164</v>
      </c>
      <c r="E5" s="0" t="s">
        <v>165</v>
      </c>
      <c r="F5" s="0" t="s">
        <v>166</v>
      </c>
      <c r="G5" s="0" t="s">
        <v>167</v>
      </c>
      <c r="H5" s="0" t="s">
        <v>168</v>
      </c>
      <c r="I5" s="0" t="s">
        <v>169</v>
      </c>
      <c r="J5" s="0" t="s">
        <v>170</v>
      </c>
      <c r="K5" s="0" t="s">
        <v>171</v>
      </c>
      <c r="L5" s="0" t="s">
        <v>172</v>
      </c>
      <c r="M5" s="0" t="s">
        <v>173</v>
      </c>
      <c r="N5" s="0" t="s">
        <v>174</v>
      </c>
      <c r="O5" s="0" t="s">
        <v>175</v>
      </c>
      <c r="P5" s="0" t="s">
        <v>176</v>
      </c>
      <c r="Q5" s="0" t="s">
        <v>177</v>
      </c>
      <c r="R5" s="0" t="s">
        <v>178</v>
      </c>
      <c r="S5" s="0" t="s">
        <v>179</v>
      </c>
      <c r="T5" s="0" t="s">
        <v>180</v>
      </c>
      <c r="U5" s="0" t="s">
        <v>181</v>
      </c>
      <c r="V5" s="0" t="s">
        <v>182</v>
      </c>
      <c r="W5" s="0" t="s">
        <v>183</v>
      </c>
      <c r="X5" s="0" t="s">
        <v>184</v>
      </c>
      <c r="Y5" s="0" t="s">
        <v>185</v>
      </c>
      <c r="Z5" s="0" t="s">
        <v>186</v>
      </c>
      <c r="AA5" s="0" t="s">
        <v>187</v>
      </c>
      <c r="AB5" s="0" t="s">
        <v>188</v>
      </c>
      <c r="AC5" s="0" t="s">
        <v>189</v>
      </c>
      <c r="AD5" s="0" t="s">
        <v>190</v>
      </c>
      <c r="AE5" s="0" t="s">
        <v>191</v>
      </c>
      <c r="AF5" s="0" t="s">
        <v>192</v>
      </c>
    </row>
    <row r="6" customFormat="false" ht="15" hidden="false" customHeight="false" outlineLevel="0" collapsed="false">
      <c r="A6" s="0" t="s">
        <v>193</v>
      </c>
      <c r="B6" s="0" t="s">
        <v>194</v>
      </c>
      <c r="C6" s="0" t="s">
        <v>195</v>
      </c>
      <c r="D6" s="0" t="s">
        <v>196</v>
      </c>
      <c r="E6" s="0" t="s">
        <v>197</v>
      </c>
      <c r="F6" s="0" t="s">
        <v>198</v>
      </c>
      <c r="G6" s="0" t="s">
        <v>199</v>
      </c>
      <c r="H6" s="0" t="s">
        <v>200</v>
      </c>
      <c r="I6" s="0" t="s">
        <v>201</v>
      </c>
      <c r="J6" s="0" t="s">
        <v>202</v>
      </c>
      <c r="K6" s="0" t="s">
        <v>203</v>
      </c>
      <c r="L6" s="0" t="s">
        <v>204</v>
      </c>
      <c r="M6" s="0" t="s">
        <v>205</v>
      </c>
      <c r="N6" s="0" t="s">
        <v>206</v>
      </c>
      <c r="O6" s="0" t="s">
        <v>207</v>
      </c>
      <c r="P6" s="0" t="s">
        <v>208</v>
      </c>
      <c r="Q6" s="0" t="s">
        <v>209</v>
      </c>
      <c r="R6" s="0" t="s">
        <v>210</v>
      </c>
      <c r="S6" s="0" t="s">
        <v>211</v>
      </c>
      <c r="T6" s="0" t="s">
        <v>212</v>
      </c>
      <c r="U6" s="0" t="s">
        <v>213</v>
      </c>
      <c r="V6" s="0" t="s">
        <v>214</v>
      </c>
      <c r="W6" s="0" t="s">
        <v>215</v>
      </c>
      <c r="X6" s="0" t="s">
        <v>216</v>
      </c>
      <c r="Y6" s="0" t="s">
        <v>217</v>
      </c>
      <c r="Z6" s="0" t="s">
        <v>218</v>
      </c>
      <c r="AA6" s="0" t="s">
        <v>219</v>
      </c>
      <c r="AB6" s="0" t="s">
        <v>220</v>
      </c>
      <c r="AC6" s="0" t="s">
        <v>221</v>
      </c>
      <c r="AD6" s="0" t="s">
        <v>222</v>
      </c>
      <c r="AE6" s="0" t="s">
        <v>223</v>
      </c>
      <c r="AF6" s="0" t="s">
        <v>224</v>
      </c>
    </row>
    <row r="7" customFormat="false" ht="15" hidden="false" customHeight="false" outlineLevel="0" collapsed="false">
      <c r="A7" s="0" t="s">
        <v>225</v>
      </c>
      <c r="B7" s="0" t="s">
        <v>226</v>
      </c>
      <c r="C7" s="0" t="s">
        <v>227</v>
      </c>
      <c r="D7" s="0" t="s">
        <v>228</v>
      </c>
      <c r="E7" s="0" t="s">
        <v>229</v>
      </c>
      <c r="F7" s="0" t="s">
        <v>230</v>
      </c>
      <c r="G7" s="0" t="s">
        <v>231</v>
      </c>
      <c r="H7" s="0" t="s">
        <v>232</v>
      </c>
      <c r="I7" s="0" t="s">
        <v>233</v>
      </c>
      <c r="J7" s="0" t="s">
        <v>234</v>
      </c>
      <c r="K7" s="0" t="s">
        <v>235</v>
      </c>
      <c r="L7" s="0" t="s">
        <v>236</v>
      </c>
      <c r="M7" s="0" t="s">
        <v>237</v>
      </c>
      <c r="N7" s="0" t="s">
        <v>238</v>
      </c>
      <c r="O7" s="0" t="s">
        <v>239</v>
      </c>
      <c r="P7" s="0" t="s">
        <v>240</v>
      </c>
      <c r="Q7" s="0" t="s">
        <v>241</v>
      </c>
      <c r="R7" s="0" t="s">
        <v>242</v>
      </c>
      <c r="S7" s="0" t="s">
        <v>243</v>
      </c>
      <c r="T7" s="0" t="s">
        <v>244</v>
      </c>
      <c r="U7" s="0" t="s">
        <v>245</v>
      </c>
      <c r="V7" s="0" t="s">
        <v>246</v>
      </c>
      <c r="W7" s="0" t="s">
        <v>247</v>
      </c>
      <c r="X7" s="0" t="s">
        <v>248</v>
      </c>
      <c r="Y7" s="0" t="s">
        <v>249</v>
      </c>
      <c r="Z7" s="0" t="s">
        <v>250</v>
      </c>
      <c r="AA7" s="0" t="s">
        <v>251</v>
      </c>
      <c r="AB7" s="0" t="s">
        <v>252</v>
      </c>
      <c r="AC7" s="0" t="s">
        <v>253</v>
      </c>
      <c r="AD7" s="0" t="s">
        <v>254</v>
      </c>
      <c r="AE7" s="0" t="s">
        <v>255</v>
      </c>
      <c r="AF7" s="0" t="s">
        <v>256</v>
      </c>
    </row>
    <row r="8" customFormat="false" ht="15" hidden="false" customHeight="false" outlineLevel="0" collapsed="false">
      <c r="A8" s="0" t="s">
        <v>257</v>
      </c>
      <c r="B8" s="0" t="s">
        <v>258</v>
      </c>
      <c r="C8" s="0" t="s">
        <v>259</v>
      </c>
      <c r="D8" s="0" t="s">
        <v>260</v>
      </c>
      <c r="E8" s="0" t="s">
        <v>261</v>
      </c>
      <c r="F8" s="0" t="s">
        <v>262</v>
      </c>
      <c r="G8" s="0" t="s">
        <v>263</v>
      </c>
      <c r="H8" s="0" t="s">
        <v>264</v>
      </c>
      <c r="I8" s="0" t="s">
        <v>265</v>
      </c>
      <c r="J8" s="0" t="s">
        <v>266</v>
      </c>
      <c r="K8" s="0" t="s">
        <v>267</v>
      </c>
      <c r="L8" s="0" t="s">
        <v>268</v>
      </c>
      <c r="M8" s="0" t="s">
        <v>269</v>
      </c>
      <c r="N8" s="0" t="s">
        <v>270</v>
      </c>
      <c r="O8" s="0" t="s">
        <v>271</v>
      </c>
      <c r="P8" s="0" t="s">
        <v>272</v>
      </c>
      <c r="Q8" s="0" t="s">
        <v>273</v>
      </c>
      <c r="R8" s="0" t="s">
        <v>274</v>
      </c>
      <c r="S8" s="0" t="s">
        <v>275</v>
      </c>
      <c r="T8" s="0" t="s">
        <v>276</v>
      </c>
      <c r="U8" s="0" t="s">
        <v>277</v>
      </c>
      <c r="V8" s="0" t="s">
        <v>278</v>
      </c>
      <c r="W8" s="0" t="s">
        <v>279</v>
      </c>
      <c r="X8" s="0" t="s">
        <v>280</v>
      </c>
      <c r="Y8" s="0" t="s">
        <v>281</v>
      </c>
      <c r="Z8" s="0" t="s">
        <v>282</v>
      </c>
      <c r="AA8" s="0" t="s">
        <v>283</v>
      </c>
      <c r="AB8" s="0" t="s">
        <v>284</v>
      </c>
      <c r="AC8" s="0" t="s">
        <v>285</v>
      </c>
      <c r="AD8" s="0" t="s">
        <v>286</v>
      </c>
      <c r="AE8" s="0" t="s">
        <v>287</v>
      </c>
      <c r="AF8" s="0" t="s">
        <v>288</v>
      </c>
    </row>
    <row r="9" customFormat="false" ht="15" hidden="false" customHeight="false" outlineLevel="0" collapsed="false">
      <c r="A9" s="0" t="s">
        <v>289</v>
      </c>
      <c r="B9" s="0" t="s">
        <v>290</v>
      </c>
      <c r="C9" s="0" t="s">
        <v>291</v>
      </c>
      <c r="D9" s="0" t="s">
        <v>292</v>
      </c>
      <c r="E9" s="0" t="s">
        <v>293</v>
      </c>
      <c r="F9" s="0" t="s">
        <v>294</v>
      </c>
      <c r="G9" s="0" t="s">
        <v>295</v>
      </c>
      <c r="H9" s="0" t="s">
        <v>296</v>
      </c>
      <c r="I9" s="0" t="s">
        <v>297</v>
      </c>
      <c r="J9" s="0" t="s">
        <v>298</v>
      </c>
      <c r="K9" s="0" t="s">
        <v>299</v>
      </c>
      <c r="L9" s="0" t="s">
        <v>300</v>
      </c>
      <c r="M9" s="0" t="s">
        <v>301</v>
      </c>
      <c r="N9" s="0" t="s">
        <v>302</v>
      </c>
      <c r="O9" s="0" t="s">
        <v>303</v>
      </c>
      <c r="P9" s="0" t="s">
        <v>304</v>
      </c>
      <c r="Q9" s="0" t="s">
        <v>305</v>
      </c>
      <c r="R9" s="0" t="s">
        <v>306</v>
      </c>
      <c r="S9" s="0" t="s">
        <v>307</v>
      </c>
      <c r="T9" s="0" t="s">
        <v>308</v>
      </c>
      <c r="U9" s="0" t="s">
        <v>309</v>
      </c>
      <c r="V9" s="0" t="s">
        <v>310</v>
      </c>
      <c r="W9" s="0" t="s">
        <v>311</v>
      </c>
      <c r="X9" s="0" t="s">
        <v>312</v>
      </c>
      <c r="Y9" s="0" t="s">
        <v>313</v>
      </c>
      <c r="Z9" s="0" t="s">
        <v>314</v>
      </c>
      <c r="AA9" s="0" t="s">
        <v>315</v>
      </c>
      <c r="AB9" s="0" t="s">
        <v>316</v>
      </c>
      <c r="AC9" s="0" t="s">
        <v>317</v>
      </c>
      <c r="AD9" s="0" t="s">
        <v>318</v>
      </c>
      <c r="AE9" s="0" t="s">
        <v>319</v>
      </c>
      <c r="AF9" s="0" t="s">
        <v>320</v>
      </c>
    </row>
    <row r="10" customFormat="false" ht="15" hidden="false" customHeight="false" outlineLevel="0" collapsed="false">
      <c r="A10" s="0" t="s">
        <v>321</v>
      </c>
      <c r="B10" s="0" t="s">
        <v>322</v>
      </c>
      <c r="C10" s="0" t="s">
        <v>323</v>
      </c>
      <c r="D10" s="0" t="s">
        <v>324</v>
      </c>
      <c r="E10" s="0" t="s">
        <v>325</v>
      </c>
      <c r="F10" s="0" t="s">
        <v>326</v>
      </c>
      <c r="G10" s="0" t="s">
        <v>327</v>
      </c>
      <c r="H10" s="0" t="s">
        <v>328</v>
      </c>
      <c r="I10" s="0" t="s">
        <v>329</v>
      </c>
      <c r="J10" s="0" t="s">
        <v>330</v>
      </c>
      <c r="K10" s="0" t="s">
        <v>331</v>
      </c>
      <c r="L10" s="0" t="s">
        <v>332</v>
      </c>
      <c r="M10" s="0" t="s">
        <v>333</v>
      </c>
      <c r="N10" s="0" t="s">
        <v>334</v>
      </c>
      <c r="O10" s="0" t="s">
        <v>335</v>
      </c>
      <c r="P10" s="0" t="s">
        <v>336</v>
      </c>
      <c r="Q10" s="0" t="s">
        <v>337</v>
      </c>
      <c r="R10" s="0" t="s">
        <v>338</v>
      </c>
      <c r="S10" s="0" t="s">
        <v>339</v>
      </c>
      <c r="T10" s="0" t="s">
        <v>340</v>
      </c>
      <c r="U10" s="0" t="s">
        <v>341</v>
      </c>
      <c r="V10" s="0" t="s">
        <v>342</v>
      </c>
      <c r="W10" s="0" t="s">
        <v>343</v>
      </c>
      <c r="X10" s="0" t="s">
        <v>344</v>
      </c>
      <c r="Y10" s="0" t="s">
        <v>345</v>
      </c>
      <c r="Z10" s="0" t="s">
        <v>346</v>
      </c>
      <c r="AA10" s="0" t="s">
        <v>347</v>
      </c>
      <c r="AB10" s="0" t="s">
        <v>348</v>
      </c>
      <c r="AC10" s="0" t="s">
        <v>349</v>
      </c>
      <c r="AD10" s="0" t="s">
        <v>350</v>
      </c>
      <c r="AE10" s="0" t="s">
        <v>351</v>
      </c>
      <c r="AF10" s="0" t="s">
        <v>352</v>
      </c>
    </row>
    <row r="11" customFormat="false" ht="15" hidden="false" customHeight="false" outlineLevel="0" collapsed="false">
      <c r="A11" s="0" t="s">
        <v>353</v>
      </c>
      <c r="B11" s="0" t="s">
        <v>354</v>
      </c>
      <c r="C11" s="0" t="s">
        <v>355</v>
      </c>
      <c r="D11" s="0" t="s">
        <v>356</v>
      </c>
      <c r="E11" s="0" t="s">
        <v>357</v>
      </c>
      <c r="F11" s="0" t="s">
        <v>358</v>
      </c>
      <c r="G11" s="0" t="s">
        <v>359</v>
      </c>
      <c r="H11" s="0" t="s">
        <v>360</v>
      </c>
      <c r="I11" s="0" t="s">
        <v>361</v>
      </c>
      <c r="J11" s="0" t="s">
        <v>362</v>
      </c>
      <c r="K11" s="0" t="s">
        <v>363</v>
      </c>
      <c r="L11" s="0" t="s">
        <v>364</v>
      </c>
      <c r="M11" s="0" t="s">
        <v>365</v>
      </c>
      <c r="N11" s="0" t="s">
        <v>366</v>
      </c>
      <c r="O11" s="0" t="s">
        <v>367</v>
      </c>
      <c r="P11" s="0" t="s">
        <v>368</v>
      </c>
      <c r="Q11" s="0" t="s">
        <v>369</v>
      </c>
      <c r="R11" s="0" t="s">
        <v>370</v>
      </c>
      <c r="S11" s="0" t="s">
        <v>371</v>
      </c>
      <c r="T11" s="0" t="s">
        <v>372</v>
      </c>
      <c r="U11" s="0" t="s">
        <v>373</v>
      </c>
      <c r="V11" s="0" t="s">
        <v>374</v>
      </c>
      <c r="W11" s="0" t="s">
        <v>375</v>
      </c>
      <c r="X11" s="0" t="s">
        <v>376</v>
      </c>
      <c r="Y11" s="0" t="s">
        <v>377</v>
      </c>
      <c r="Z11" s="0" t="s">
        <v>378</v>
      </c>
      <c r="AA11" s="0" t="s">
        <v>379</v>
      </c>
      <c r="AB11" s="0" t="s">
        <v>380</v>
      </c>
      <c r="AC11" s="0" t="s">
        <v>381</v>
      </c>
      <c r="AD11" s="0" t="s">
        <v>382</v>
      </c>
      <c r="AE11" s="0" t="s">
        <v>383</v>
      </c>
      <c r="AF11" s="0" t="s">
        <v>384</v>
      </c>
    </row>
    <row r="12" customFormat="false" ht="15" hidden="false" customHeight="false" outlineLevel="0" collapsed="false">
      <c r="A12" s="0" t="s">
        <v>385</v>
      </c>
      <c r="B12" s="0" t="s">
        <v>386</v>
      </c>
      <c r="C12" s="0" t="s">
        <v>387</v>
      </c>
      <c r="E12" s="0" t="s">
        <v>388</v>
      </c>
      <c r="F12" s="0" t="s">
        <v>389</v>
      </c>
      <c r="G12" s="0" t="s">
        <v>390</v>
      </c>
      <c r="H12" s="0" t="s">
        <v>391</v>
      </c>
      <c r="I12" s="0" t="s">
        <v>392</v>
      </c>
      <c r="J12" s="0" t="s">
        <v>356</v>
      </c>
      <c r="K12" s="0" t="s">
        <v>393</v>
      </c>
      <c r="L12" s="0" t="s">
        <v>394</v>
      </c>
      <c r="M12" s="0" t="s">
        <v>395</v>
      </c>
      <c r="N12" s="0" t="s">
        <v>396</v>
      </c>
      <c r="O12" s="0" t="s">
        <v>397</v>
      </c>
      <c r="P12" s="0" t="s">
        <v>398</v>
      </c>
      <c r="Q12" s="0" t="s">
        <v>399</v>
      </c>
      <c r="R12" s="0" t="s">
        <v>400</v>
      </c>
      <c r="S12" s="0" t="s">
        <v>401</v>
      </c>
      <c r="T12" s="0" t="s">
        <v>402</v>
      </c>
      <c r="U12" s="0" t="s">
        <v>403</v>
      </c>
      <c r="V12" s="0" t="s">
        <v>404</v>
      </c>
      <c r="W12" s="0" t="s">
        <v>405</v>
      </c>
      <c r="X12" s="0" t="s">
        <v>406</v>
      </c>
      <c r="Y12" s="0" t="s">
        <v>407</v>
      </c>
      <c r="Z12" s="0" t="s">
        <v>408</v>
      </c>
      <c r="AA12" s="0" t="s">
        <v>409</v>
      </c>
      <c r="AB12" s="0" t="s">
        <v>410</v>
      </c>
      <c r="AC12" s="0" t="s">
        <v>411</v>
      </c>
      <c r="AD12" s="0" t="s">
        <v>412</v>
      </c>
      <c r="AE12" s="0" t="s">
        <v>302</v>
      </c>
      <c r="AF12" s="0" t="s">
        <v>413</v>
      </c>
    </row>
    <row r="13" customFormat="false" ht="15" hidden="false" customHeight="false" outlineLevel="0" collapsed="false">
      <c r="A13" s="0" t="s">
        <v>414</v>
      </c>
      <c r="B13" s="0" t="s">
        <v>356</v>
      </c>
      <c r="C13" s="0" t="s">
        <v>415</v>
      </c>
      <c r="E13" s="0" t="s">
        <v>356</v>
      </c>
      <c r="F13" s="0" t="s">
        <v>416</v>
      </c>
      <c r="G13" s="0" t="s">
        <v>417</v>
      </c>
      <c r="H13" s="0" t="s">
        <v>418</v>
      </c>
      <c r="I13" s="0" t="s">
        <v>419</v>
      </c>
      <c r="K13" s="0" t="s">
        <v>356</v>
      </c>
      <c r="L13" s="0" t="s">
        <v>420</v>
      </c>
      <c r="M13" s="0" t="s">
        <v>421</v>
      </c>
      <c r="N13" s="0" t="s">
        <v>422</v>
      </c>
      <c r="O13" s="0" t="s">
        <v>356</v>
      </c>
      <c r="P13" s="0" t="s">
        <v>423</v>
      </c>
      <c r="Q13" s="0" t="s">
        <v>368</v>
      </c>
      <c r="R13" s="0" t="s">
        <v>424</v>
      </c>
      <c r="S13" s="0" t="s">
        <v>425</v>
      </c>
      <c r="T13" s="0" t="s">
        <v>419</v>
      </c>
      <c r="U13" s="0" t="s">
        <v>426</v>
      </c>
      <c r="V13" s="0" t="s">
        <v>427</v>
      </c>
      <c r="W13" s="0" t="s">
        <v>428</v>
      </c>
      <c r="X13" s="0" t="s">
        <v>429</v>
      </c>
      <c r="Y13" s="0" t="s">
        <v>430</v>
      </c>
      <c r="Z13" s="0" t="s">
        <v>431</v>
      </c>
      <c r="AA13" s="0" t="s">
        <v>270</v>
      </c>
      <c r="AB13" s="0" t="s">
        <v>432</v>
      </c>
      <c r="AC13" s="0" t="s">
        <v>433</v>
      </c>
      <c r="AD13" s="0" t="s">
        <v>434</v>
      </c>
      <c r="AE13" s="0" t="s">
        <v>435</v>
      </c>
      <c r="AF13" s="0" t="s">
        <v>436</v>
      </c>
    </row>
    <row r="14" customFormat="false" ht="15" hidden="false" customHeight="false" outlineLevel="0" collapsed="false">
      <c r="A14" s="0" t="s">
        <v>437</v>
      </c>
      <c r="C14" s="0" t="s">
        <v>438</v>
      </c>
      <c r="F14" s="0" t="s">
        <v>439</v>
      </c>
      <c r="G14" s="0" t="s">
        <v>440</v>
      </c>
      <c r="H14" s="0" t="s">
        <v>441</v>
      </c>
      <c r="I14" s="0" t="s">
        <v>356</v>
      </c>
      <c r="L14" s="0" t="s">
        <v>442</v>
      </c>
      <c r="M14" s="0" t="s">
        <v>443</v>
      </c>
      <c r="N14" s="0" t="s">
        <v>356</v>
      </c>
      <c r="P14" s="0" t="s">
        <v>444</v>
      </c>
      <c r="Q14" s="0" t="s">
        <v>445</v>
      </c>
      <c r="R14" s="0" t="s">
        <v>446</v>
      </c>
      <c r="S14" s="0" t="s">
        <v>447</v>
      </c>
      <c r="T14" s="0" t="s">
        <v>448</v>
      </c>
      <c r="U14" s="0" t="s">
        <v>449</v>
      </c>
      <c r="V14" s="0" t="s">
        <v>450</v>
      </c>
      <c r="W14" s="0" t="s">
        <v>451</v>
      </c>
      <c r="X14" s="0" t="s">
        <v>452</v>
      </c>
      <c r="Y14" s="0" t="s">
        <v>453</v>
      </c>
      <c r="Z14" s="0" t="s">
        <v>356</v>
      </c>
      <c r="AA14" s="0" t="s">
        <v>302</v>
      </c>
      <c r="AB14" s="0" t="s">
        <v>454</v>
      </c>
      <c r="AC14" s="0" t="s">
        <v>455</v>
      </c>
      <c r="AD14" s="0" t="s">
        <v>356</v>
      </c>
      <c r="AE14" s="0" t="s">
        <v>456</v>
      </c>
      <c r="AF14" s="0" t="s">
        <v>356</v>
      </c>
    </row>
    <row r="15" customFormat="false" ht="15" hidden="false" customHeight="false" outlineLevel="0" collapsed="false">
      <c r="A15" s="0" t="s">
        <v>457</v>
      </c>
      <c r="C15" s="0" t="s">
        <v>458</v>
      </c>
      <c r="F15" s="0" t="s">
        <v>459</v>
      </c>
      <c r="G15" s="0" t="s">
        <v>460</v>
      </c>
      <c r="H15" s="0" t="s">
        <v>368</v>
      </c>
      <c r="L15" s="0" t="s">
        <v>461</v>
      </c>
      <c r="M15" s="0" t="s">
        <v>462</v>
      </c>
      <c r="P15" s="0" t="s">
        <v>356</v>
      </c>
      <c r="Q15" s="0" t="s">
        <v>463</v>
      </c>
      <c r="R15" s="0" t="s">
        <v>464</v>
      </c>
      <c r="S15" s="0" t="s">
        <v>465</v>
      </c>
      <c r="T15" s="0" t="s">
        <v>466</v>
      </c>
      <c r="U15" s="0" t="s">
        <v>467</v>
      </c>
      <c r="V15" s="0" t="s">
        <v>468</v>
      </c>
      <c r="W15" s="0" t="s">
        <v>356</v>
      </c>
      <c r="X15" s="0" t="s">
        <v>469</v>
      </c>
      <c r="Y15" s="0" t="s">
        <v>356</v>
      </c>
      <c r="AA15" s="0" t="s">
        <v>470</v>
      </c>
      <c r="AB15" s="0" t="s">
        <v>471</v>
      </c>
      <c r="AC15" s="0" t="s">
        <v>356</v>
      </c>
      <c r="AE15" s="0" t="s">
        <v>356</v>
      </c>
    </row>
    <row r="16" customFormat="false" ht="15" hidden="false" customHeight="false" outlineLevel="0" collapsed="false">
      <c r="A16" s="0" t="s">
        <v>472</v>
      </c>
      <c r="C16" s="0" t="s">
        <v>473</v>
      </c>
      <c r="F16" s="0" t="s">
        <v>474</v>
      </c>
      <c r="G16" s="0" t="s">
        <v>462</v>
      </c>
      <c r="H16" s="0" t="s">
        <v>475</v>
      </c>
      <c r="L16" s="0" t="s">
        <v>476</v>
      </c>
      <c r="M16" s="0" t="s">
        <v>477</v>
      </c>
      <c r="Q16" s="0" t="s">
        <v>478</v>
      </c>
      <c r="R16" s="0" t="s">
        <v>479</v>
      </c>
      <c r="S16" s="0" t="s">
        <v>480</v>
      </c>
      <c r="T16" s="0" t="s">
        <v>481</v>
      </c>
      <c r="U16" s="0" t="s">
        <v>356</v>
      </c>
      <c r="V16" s="0" t="s">
        <v>482</v>
      </c>
      <c r="X16" s="0" t="s">
        <v>483</v>
      </c>
      <c r="AA16" s="0" t="s">
        <v>356</v>
      </c>
      <c r="AB16" s="0" t="s">
        <v>484</v>
      </c>
    </row>
    <row r="17" customFormat="false" ht="15" hidden="false" customHeight="false" outlineLevel="0" collapsed="false">
      <c r="A17" s="0" t="s">
        <v>485</v>
      </c>
      <c r="C17" s="0" t="s">
        <v>486</v>
      </c>
      <c r="F17" s="0" t="s">
        <v>356</v>
      </c>
      <c r="G17" s="0" t="s">
        <v>487</v>
      </c>
      <c r="H17" s="0" t="s">
        <v>488</v>
      </c>
      <c r="L17" s="0" t="s">
        <v>441</v>
      </c>
      <c r="M17" s="0" t="s">
        <v>489</v>
      </c>
      <c r="Q17" s="0" t="s">
        <v>490</v>
      </c>
      <c r="R17" s="0" t="s">
        <v>491</v>
      </c>
      <c r="S17" s="0" t="s">
        <v>492</v>
      </c>
      <c r="T17" s="0" t="s">
        <v>493</v>
      </c>
      <c r="V17" s="0" t="s">
        <v>356</v>
      </c>
      <c r="X17" s="0" t="s">
        <v>356</v>
      </c>
      <c r="AB17" s="0" t="s">
        <v>494</v>
      </c>
    </row>
    <row r="18" customFormat="false" ht="15" hidden="false" customHeight="false" outlineLevel="0" collapsed="false">
      <c r="A18" s="0" t="s">
        <v>495</v>
      </c>
      <c r="C18" s="0" t="s">
        <v>356</v>
      </c>
      <c r="G18" s="0" t="s">
        <v>496</v>
      </c>
      <c r="H18" s="0" t="s">
        <v>497</v>
      </c>
      <c r="L18" s="0" t="s">
        <v>498</v>
      </c>
      <c r="M18" s="0" t="s">
        <v>499</v>
      </c>
      <c r="Q18" s="0" t="s">
        <v>500</v>
      </c>
      <c r="R18" s="0" t="s">
        <v>356</v>
      </c>
      <c r="S18" s="0" t="s">
        <v>356</v>
      </c>
      <c r="T18" s="0" t="s">
        <v>501</v>
      </c>
      <c r="AB18" s="0" t="s">
        <v>502</v>
      </c>
    </row>
    <row r="19" customFormat="false" ht="15" hidden="false" customHeight="false" outlineLevel="0" collapsed="false">
      <c r="A19" s="0" t="s">
        <v>356</v>
      </c>
      <c r="G19" s="0" t="s">
        <v>356</v>
      </c>
      <c r="H19" s="0" t="s">
        <v>356</v>
      </c>
      <c r="L19" s="0" t="s">
        <v>503</v>
      </c>
      <c r="M19" s="0" t="s">
        <v>356</v>
      </c>
      <c r="Q19" s="0" t="s">
        <v>356</v>
      </c>
      <c r="T19" s="0" t="s">
        <v>356</v>
      </c>
      <c r="AB19" s="0" t="s">
        <v>356</v>
      </c>
    </row>
    <row r="20" customFormat="false" ht="15" hidden="false" customHeight="false" outlineLevel="0" collapsed="false">
      <c r="L20" s="0" t="s">
        <v>504</v>
      </c>
    </row>
    <row r="21" customFormat="false" ht="15" hidden="false" customHeight="false" outlineLevel="0" collapsed="false">
      <c r="L21" s="0" t="s">
        <v>505</v>
      </c>
    </row>
    <row r="22" customFormat="false" ht="15" hidden="false" customHeight="false" outlineLevel="0" collapsed="false">
      <c r="L22" s="0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5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506</v>
      </c>
      <c r="B1" s="1"/>
      <c r="C1" s="1"/>
      <c r="D1" s="1"/>
      <c r="E1" s="1"/>
    </row>
    <row r="3" customFormat="false" ht="15" hidden="false" customHeight="false" outlineLevel="0" collapsed="false">
      <c r="A3" s="7" t="s">
        <v>507</v>
      </c>
      <c r="B3" s="7" t="s">
        <v>508</v>
      </c>
      <c r="C3" s="7" t="s">
        <v>509</v>
      </c>
      <c r="D3" s="7" t="s">
        <v>510</v>
      </c>
      <c r="E3" s="7" t="s">
        <v>511</v>
      </c>
    </row>
    <row r="4" customFormat="false" ht="15" hidden="false" customHeight="false" outlineLevel="0" collapsed="false">
      <c r="A4" s="8" t="s">
        <v>512</v>
      </c>
      <c r="B4" s="9" t="n">
        <f aca="false">COUNTBLANK('LEVANTAMENTO DE CAMPO'!D3:D9)*12</f>
        <v>84</v>
      </c>
      <c r="C4" s="9" t="n">
        <v>0</v>
      </c>
      <c r="D4" s="9" t="n">
        <f aca="false">B4-C4</f>
        <v>84</v>
      </c>
      <c r="E4" s="9" t="str">
        <f aca="false">IF(D4&gt;50,"🔴 CRÍTICO",IF(D4&gt;25,"🟡 ATENÇÃO","🟢 OK"))</f>
        <v>🔴 CRÍTICO</v>
      </c>
    </row>
    <row r="5" customFormat="false" ht="15" hidden="false" customHeight="false" outlineLevel="0" collapsed="false">
      <c r="A5" s="8" t="s">
        <v>513</v>
      </c>
      <c r="B5" s="9" t="n">
        <f aca="false">COUNTBLANK('LEVANTAMENTO DE CAMPO'!D10:D13)*9</f>
        <v>36</v>
      </c>
      <c r="C5" s="9" t="n">
        <v>0</v>
      </c>
      <c r="D5" s="9" t="n">
        <f aca="false">B5-C5</f>
        <v>36</v>
      </c>
      <c r="E5" s="9" t="str">
        <f aca="false">IF(D5&gt;50,"🔴 CRÍTICO",IF(D5&gt;25,"🟡 ATENÇÃO","🟢 OK"))</f>
        <v>🟡 ATENÇÃO</v>
      </c>
    </row>
    <row r="6" customFormat="false" ht="15" hidden="false" customHeight="false" outlineLevel="0" collapsed="false">
      <c r="A6" s="8" t="s">
        <v>514</v>
      </c>
      <c r="B6" s="9" t="n">
        <f aca="false">COUNTBLANK('LEVANTAMENTO DE CAMPO'!D14:D18)*10</f>
        <v>50</v>
      </c>
      <c r="C6" s="9" t="n">
        <v>0</v>
      </c>
      <c r="D6" s="9" t="n">
        <f aca="false">B6-C6</f>
        <v>50</v>
      </c>
      <c r="E6" s="9" t="str">
        <f aca="false">IF(D6&gt;50,"🔴 CRÍTICO",IF(D6&gt;25,"🟡 ATENÇÃO","🟢 OK"))</f>
        <v>🟡 ATENÇÃO</v>
      </c>
    </row>
    <row r="7" customFormat="false" ht="15" hidden="false" customHeight="false" outlineLevel="0" collapsed="false">
      <c r="A7" s="8" t="s">
        <v>515</v>
      </c>
      <c r="B7" s="9" t="n">
        <f aca="false">COUNTBLANK('LEVANTAMENTO DE CAMPO'!D19:D26)*13</f>
        <v>104</v>
      </c>
      <c r="C7" s="9" t="n">
        <v>0</v>
      </c>
      <c r="D7" s="9" t="n">
        <f aca="false">B7-C7</f>
        <v>104</v>
      </c>
      <c r="E7" s="9" t="str">
        <f aca="false">IF(D7&gt;50,"🔴 CRÍTICO",IF(D7&gt;25,"🟡 ATENÇÃO","🟢 OK"))</f>
        <v>🔴 CRÍTICO</v>
      </c>
    </row>
    <row r="8" customFormat="false" ht="15" hidden="false" customHeight="false" outlineLevel="0" collapsed="false">
      <c r="A8" s="8" t="s">
        <v>516</v>
      </c>
      <c r="B8" s="9" t="n">
        <f aca="false">COUNTBLANK('LEVANTAMENTO DE CAMPO'!D27:D34)*13</f>
        <v>104</v>
      </c>
      <c r="C8" s="9" t="n">
        <v>0</v>
      </c>
      <c r="D8" s="9" t="n">
        <f aca="false">B8-C8</f>
        <v>104</v>
      </c>
      <c r="E8" s="9" t="str">
        <f aca="false">IF(D8&gt;50,"🔴 CRÍTICO",IF(D8&gt;25,"🟡 ATENÇÃO","🟢 OK"))</f>
        <v>🔴 CRÍTICO</v>
      </c>
    </row>
    <row r="10" customFormat="false" ht="22.05" hidden="false" customHeight="false" outlineLevel="0" collapsed="false">
      <c r="A10" s="10" t="s">
        <v>517</v>
      </c>
      <c r="B10" s="11" t="n">
        <f aca="false">100-SUM(D4:D8)</f>
        <v>-278</v>
      </c>
    </row>
    <row r="12" customFormat="false" ht="15" hidden="false" customHeight="false" outlineLevel="0" collapsed="false">
      <c r="A12" s="12" t="s">
        <v>518</v>
      </c>
      <c r="B12" s="13" t="str">
        <f aca="false">IF(B10&lt;=35,"🔓 VULNERABILIDADE EXTREMA",IF(B10&lt;=60,"🔐 PROTEÇÃO INSUFICIENTE",IF(B10&lt;=80,"🔒 SEGURANÇA BÁSICA","🛡️ PADRÃO FORTIFICADO")))</f>
        <v>🔓 VULNERABILIDADE EXTREMA</v>
      </c>
      <c r="C12" s="13"/>
      <c r="D12" s="13"/>
      <c r="E12" s="13"/>
    </row>
    <row r="14" customFormat="false" ht="17.35" hidden="false" customHeight="false" outlineLevel="0" collapsed="false">
      <c r="A14" s="12" t="s">
        <v>519</v>
      </c>
      <c r="B14" s="14" t="str">
        <f aca="false">IF(B10&lt;=35,"CRÍTICO",IF(B10&lt;=60,"ALTO RISCO",IF(B10&lt;=80,"MODERADO","PROTEGIDO")))</f>
        <v>CRÍTICO</v>
      </c>
      <c r="C14" s="14"/>
      <c r="D14" s="14"/>
      <c r="E14" s="14"/>
    </row>
  </sheetData>
  <sheetProtection sheet="true" password="bf13"/>
  <mergeCells count="3">
    <mergeCell ref="A1:E1"/>
    <mergeCell ref="B12:E12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5" min="5" style="0" width="25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" t="s">
        <v>520</v>
      </c>
      <c r="B1" s="1"/>
      <c r="C1" s="1"/>
      <c r="D1" s="1"/>
      <c r="E1" s="1"/>
      <c r="F1" s="1"/>
      <c r="G1" s="1"/>
      <c r="H1" s="1"/>
      <c r="I1" s="1"/>
    </row>
    <row r="2" customFormat="false" ht="29.85" hidden="false" customHeight="false" outlineLevel="0" collapsed="false">
      <c r="A2" s="15" t="s">
        <v>521</v>
      </c>
      <c r="B2" s="15" t="s">
        <v>2</v>
      </c>
      <c r="C2" s="15" t="s">
        <v>522</v>
      </c>
      <c r="D2" s="15" t="s">
        <v>523</v>
      </c>
      <c r="E2" s="15" t="s">
        <v>524</v>
      </c>
      <c r="F2" s="15" t="s">
        <v>525</v>
      </c>
      <c r="G2" s="15" t="s">
        <v>526</v>
      </c>
      <c r="H2" s="15" t="s">
        <v>527</v>
      </c>
      <c r="I2" s="15" t="s">
        <v>528</v>
      </c>
    </row>
    <row r="3" customFormat="false" ht="15" hidden="false" customHeight="false" outlineLevel="0" collapsed="false">
      <c r="A3" s="16" t="n">
        <v>1</v>
      </c>
      <c r="B3" s="3" t="s">
        <v>32</v>
      </c>
      <c r="C3" s="3" t="s">
        <v>529</v>
      </c>
      <c r="D3" s="3" t="s">
        <v>530</v>
      </c>
      <c r="E3" s="3" t="s">
        <v>531</v>
      </c>
      <c r="F3" s="3" t="s">
        <v>532</v>
      </c>
      <c r="G3" s="3" t="s">
        <v>533</v>
      </c>
      <c r="H3" s="3" t="s">
        <v>534</v>
      </c>
      <c r="I3" s="3" t="s">
        <v>535</v>
      </c>
    </row>
    <row r="4" customFormat="false" ht="15" hidden="false" customHeight="false" outlineLevel="0" collapsed="false">
      <c r="A4" s="16" t="n">
        <v>1</v>
      </c>
      <c r="B4" s="3" t="s">
        <v>43</v>
      </c>
      <c r="C4" s="3" t="s">
        <v>536</v>
      </c>
      <c r="D4" s="3" t="s">
        <v>537</v>
      </c>
      <c r="E4" s="3" t="s">
        <v>538</v>
      </c>
      <c r="F4" s="3" t="s">
        <v>539</v>
      </c>
      <c r="G4" s="3" t="s">
        <v>540</v>
      </c>
      <c r="H4" s="3" t="s">
        <v>541</v>
      </c>
      <c r="I4" s="3" t="s">
        <v>542</v>
      </c>
    </row>
    <row r="5" customFormat="false" ht="15" hidden="false" customHeight="false" outlineLevel="0" collapsed="false">
      <c r="A5" s="17" t="n">
        <v>2</v>
      </c>
      <c r="B5" s="3" t="s">
        <v>23</v>
      </c>
      <c r="C5" s="3" t="s">
        <v>543</v>
      </c>
      <c r="D5" s="3" t="s">
        <v>544</v>
      </c>
      <c r="E5" s="3" t="s">
        <v>545</v>
      </c>
      <c r="F5" s="3" t="s">
        <v>546</v>
      </c>
      <c r="G5" s="3" t="s">
        <v>547</v>
      </c>
      <c r="H5" s="3" t="s">
        <v>548</v>
      </c>
      <c r="I5" s="3" t="s">
        <v>535</v>
      </c>
    </row>
    <row r="6" customFormat="false" ht="15" hidden="false" customHeight="false" outlineLevel="0" collapsed="false">
      <c r="A6" s="17" t="n">
        <v>2</v>
      </c>
      <c r="B6" s="3" t="s">
        <v>43</v>
      </c>
      <c r="C6" s="3" t="s">
        <v>549</v>
      </c>
      <c r="D6" s="3" t="s">
        <v>550</v>
      </c>
      <c r="E6" s="3" t="s">
        <v>551</v>
      </c>
      <c r="F6" s="3" t="s">
        <v>552</v>
      </c>
      <c r="G6" s="3" t="s">
        <v>553</v>
      </c>
      <c r="H6" s="3" t="s">
        <v>554</v>
      </c>
      <c r="I6" s="3" t="s">
        <v>535</v>
      </c>
    </row>
    <row r="7" customFormat="false" ht="15" hidden="false" customHeight="false" outlineLevel="0" collapsed="false">
      <c r="A7" s="17" t="n">
        <v>2</v>
      </c>
      <c r="B7" s="3" t="s">
        <v>8</v>
      </c>
      <c r="C7" s="3" t="s">
        <v>555</v>
      </c>
      <c r="D7" s="3" t="s">
        <v>556</v>
      </c>
      <c r="E7" s="3" t="s">
        <v>557</v>
      </c>
      <c r="F7" s="3" t="s">
        <v>558</v>
      </c>
      <c r="G7" s="3" t="s">
        <v>540</v>
      </c>
      <c r="H7" s="3" t="s">
        <v>559</v>
      </c>
      <c r="I7" s="3" t="s">
        <v>560</v>
      </c>
    </row>
    <row r="8" customFormat="false" ht="15" hidden="false" customHeight="false" outlineLevel="0" collapsed="false">
      <c r="A8" s="3" t="n">
        <v>3</v>
      </c>
      <c r="B8" s="3" t="s">
        <v>8</v>
      </c>
      <c r="C8" s="3" t="s">
        <v>561</v>
      </c>
      <c r="D8" s="3" t="s">
        <v>562</v>
      </c>
      <c r="E8" s="3" t="s">
        <v>563</v>
      </c>
      <c r="F8" s="3" t="s">
        <v>564</v>
      </c>
      <c r="G8" s="3" t="s">
        <v>565</v>
      </c>
      <c r="H8" s="3" t="s">
        <v>566</v>
      </c>
      <c r="I8" s="3" t="s">
        <v>567</v>
      </c>
    </row>
    <row r="9" customFormat="false" ht="15" hidden="false" customHeight="false" outlineLevel="0" collapsed="false">
      <c r="A9" s="3" t="n">
        <v>3</v>
      </c>
      <c r="B9" s="3" t="s">
        <v>568</v>
      </c>
      <c r="C9" s="3" t="s">
        <v>569</v>
      </c>
      <c r="D9" s="3" t="s">
        <v>570</v>
      </c>
      <c r="E9" s="3" t="s">
        <v>571</v>
      </c>
      <c r="F9" s="3" t="s">
        <v>572</v>
      </c>
      <c r="G9" s="3" t="s">
        <v>573</v>
      </c>
      <c r="H9" s="3" t="s">
        <v>574</v>
      </c>
      <c r="I9" s="3" t="s">
        <v>535</v>
      </c>
    </row>
    <row r="12" customFormat="false" ht="15" hidden="false" customHeight="false" outlineLevel="0" collapsed="false">
      <c r="A12" s="18" t="s">
        <v>575</v>
      </c>
      <c r="B12" s="18"/>
      <c r="C12" s="18"/>
      <c r="D12" s="18"/>
    </row>
    <row r="13" customFormat="false" ht="15" hidden="false" customHeight="false" outlineLevel="0" collapsed="false">
      <c r="A13" s="0" t="s">
        <v>576</v>
      </c>
      <c r="B13" s="0" t="s">
        <v>577</v>
      </c>
    </row>
    <row r="14" customFormat="false" ht="15" hidden="false" customHeight="false" outlineLevel="0" collapsed="false">
      <c r="A14" s="0" t="s">
        <v>578</v>
      </c>
      <c r="B14" s="0" t="s">
        <v>579</v>
      </c>
    </row>
    <row r="15" customFormat="false" ht="15" hidden="false" customHeight="false" outlineLevel="0" collapsed="false">
      <c r="A15" s="0" t="s">
        <v>580</v>
      </c>
      <c r="B15" s="0" t="s">
        <v>564</v>
      </c>
    </row>
    <row r="16" customFormat="false" ht="15" hidden="false" customHeight="false" outlineLevel="0" collapsed="false">
      <c r="A16" s="12" t="s">
        <v>581</v>
      </c>
      <c r="B16" s="19" t="s">
        <v>582</v>
      </c>
    </row>
  </sheetData>
  <mergeCells count="2">
    <mergeCell ref="A1:I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4.5" hidden="false" customHeight="true" outlineLevel="0" collapsed="false">
      <c r="A1" s="20" t="s">
        <v>583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21" t="s">
        <v>584</v>
      </c>
      <c r="D2" s="22" t="s">
        <v>585</v>
      </c>
      <c r="E2" s="23" t="n">
        <f aca="false">RANDBETWEEN(1000,9999)</f>
        <v>9335</v>
      </c>
    </row>
    <row r="3" customFormat="false" ht="15" hidden="false" customHeight="false" outlineLevel="0" collapsed="false">
      <c r="A3" s="24" t="s">
        <v>586</v>
      </c>
      <c r="B3" s="24"/>
      <c r="C3" s="24"/>
      <c r="D3" s="24"/>
      <c r="E3" s="24"/>
      <c r="F3" s="24"/>
    </row>
    <row r="5" customFormat="false" ht="24.75" hidden="false" customHeight="true" outlineLevel="0" collapsed="false">
      <c r="A5" s="25" t="s">
        <v>587</v>
      </c>
      <c r="B5" s="25"/>
      <c r="C5" s="25"/>
      <c r="D5" s="25"/>
      <c r="E5" s="25"/>
      <c r="F5" s="25"/>
    </row>
    <row r="7" customFormat="false" ht="29.15" hidden="false" customHeight="false" outlineLevel="0" collapsed="false">
      <c r="A7" s="12" t="s">
        <v>588</v>
      </c>
      <c r="B7" s="26" t="n">
        <f aca="false">'MATRIZ DE RISCO'!B10</f>
        <v>-278</v>
      </c>
      <c r="C7" s="27" t="s">
        <v>589</v>
      </c>
    </row>
    <row r="8" customFormat="false" ht="15" hidden="false" customHeight="false" outlineLevel="0" collapsed="false">
      <c r="A8" s="12" t="s">
        <v>590</v>
      </c>
      <c r="B8" s="28" t="str">
        <f aca="false">'MATRIZ DE RISCO'!B12</f>
        <v>🔓 VULNERABILIDADE EXTREMA</v>
      </c>
      <c r="C8" s="28"/>
      <c r="D8" s="28"/>
      <c r="E8" s="28"/>
      <c r="F8" s="28"/>
    </row>
    <row r="10" customFormat="false" ht="17.35" hidden="false" customHeight="false" outlineLevel="0" collapsed="false">
      <c r="A10" s="29" t="s">
        <v>591</v>
      </c>
      <c r="B10" s="29"/>
      <c r="C10" s="29"/>
      <c r="D10" s="29"/>
      <c r="E10" s="29"/>
      <c r="F10" s="29"/>
    </row>
    <row r="11" customFormat="false" ht="15" hidden="false" customHeight="false" outlineLevel="0" collapsed="false">
      <c r="A11" s="30" t="s">
        <v>2</v>
      </c>
      <c r="B11" s="30" t="s">
        <v>592</v>
      </c>
      <c r="C11" s="30" t="s">
        <v>593</v>
      </c>
      <c r="D11" s="30" t="s">
        <v>6</v>
      </c>
    </row>
    <row r="12" customFormat="false" ht="15" hidden="false" customHeight="false" outlineLevel="0" collapsed="false">
      <c r="A12" s="3" t="s">
        <v>512</v>
      </c>
      <c r="B12" s="3" t="s">
        <v>594</v>
      </c>
      <c r="C12" s="3" t="s">
        <v>595</v>
      </c>
      <c r="D12" s="3" t="s">
        <v>596</v>
      </c>
    </row>
    <row r="13" customFormat="false" ht="15" hidden="false" customHeight="false" outlineLevel="0" collapsed="false">
      <c r="A13" s="3" t="s">
        <v>597</v>
      </c>
      <c r="B13" s="3" t="s">
        <v>598</v>
      </c>
      <c r="C13" s="3" t="s">
        <v>599</v>
      </c>
      <c r="D13" s="3" t="s">
        <v>543</v>
      </c>
    </row>
    <row r="14" customFormat="false" ht="15" hidden="false" customHeight="false" outlineLevel="0" collapsed="false">
      <c r="A14" s="3" t="s">
        <v>514</v>
      </c>
      <c r="B14" s="3" t="s">
        <v>594</v>
      </c>
      <c r="C14" s="3" t="s">
        <v>600</v>
      </c>
      <c r="D14" s="3" t="s">
        <v>601</v>
      </c>
    </row>
    <row r="15" customFormat="false" ht="15" hidden="false" customHeight="false" outlineLevel="0" collapsed="false">
      <c r="A15" s="3" t="s">
        <v>515</v>
      </c>
      <c r="B15" s="3" t="s">
        <v>598</v>
      </c>
      <c r="C15" s="3" t="s">
        <v>602</v>
      </c>
      <c r="D15" s="3" t="s">
        <v>603</v>
      </c>
    </row>
    <row r="16" customFormat="false" ht="15" hidden="false" customHeight="false" outlineLevel="0" collapsed="false">
      <c r="A16" s="3" t="s">
        <v>516</v>
      </c>
      <c r="B16" s="3" t="s">
        <v>604</v>
      </c>
      <c r="C16" s="3" t="s">
        <v>605</v>
      </c>
      <c r="D16" s="3" t="s">
        <v>606</v>
      </c>
    </row>
    <row r="18" customFormat="false" ht="17.35" hidden="false" customHeight="false" outlineLevel="0" collapsed="false">
      <c r="A18" s="31" t="s">
        <v>607</v>
      </c>
      <c r="B18" s="31"/>
      <c r="C18" s="31"/>
      <c r="D18" s="31"/>
      <c r="E18" s="31"/>
      <c r="F18" s="31"/>
    </row>
    <row r="19" customFormat="false" ht="15" hidden="false" customHeight="false" outlineLevel="0" collapsed="false">
      <c r="A19" s="32" t="s">
        <v>608</v>
      </c>
      <c r="B19" s="32"/>
      <c r="C19" s="32"/>
      <c r="D19" s="32"/>
      <c r="E19" s="32"/>
      <c r="F19" s="32"/>
    </row>
    <row r="20" customFormat="false" ht="15" hidden="false" customHeight="false" outlineLevel="0" collapsed="false">
      <c r="A20" s="32" t="s">
        <v>609</v>
      </c>
      <c r="B20" s="32"/>
      <c r="C20" s="32"/>
      <c r="D20" s="32"/>
      <c r="E20" s="32"/>
      <c r="F20" s="32"/>
    </row>
    <row r="21" customFormat="false" ht="15" hidden="false" customHeight="false" outlineLevel="0" collapsed="false">
      <c r="A21" s="32" t="s">
        <v>610</v>
      </c>
      <c r="B21" s="32"/>
      <c r="C21" s="32"/>
      <c r="D21" s="32"/>
      <c r="E21" s="32"/>
      <c r="F21" s="32"/>
    </row>
    <row r="22" customFormat="false" ht="15" hidden="false" customHeight="false" outlineLevel="0" collapsed="false">
      <c r="A22" s="32" t="s">
        <v>611</v>
      </c>
      <c r="B22" s="32"/>
      <c r="C22" s="32"/>
      <c r="D22" s="32"/>
      <c r="E22" s="32"/>
      <c r="F22" s="32"/>
    </row>
    <row r="23" customFormat="false" ht="15" hidden="false" customHeight="false" outlineLevel="0" collapsed="false">
      <c r="A23" s="32" t="s">
        <v>612</v>
      </c>
      <c r="B23" s="32"/>
      <c r="C23" s="32"/>
      <c r="D23" s="32"/>
      <c r="E23" s="32"/>
      <c r="F23" s="32"/>
    </row>
    <row r="25" customFormat="false" ht="17.35" hidden="false" customHeight="false" outlineLevel="0" collapsed="false">
      <c r="A25" s="29" t="s">
        <v>613</v>
      </c>
      <c r="B25" s="29"/>
      <c r="C25" s="29"/>
      <c r="D25" s="29"/>
      <c r="E25" s="29"/>
      <c r="F25" s="29"/>
    </row>
    <row r="26" customFormat="false" ht="15" hidden="false" customHeight="false" outlineLevel="0" collapsed="false">
      <c r="A26" s="32" t="s">
        <v>614</v>
      </c>
      <c r="B26" s="32"/>
      <c r="C26" s="32"/>
      <c r="D26" s="32"/>
      <c r="E26" s="32"/>
      <c r="F26" s="32"/>
    </row>
    <row r="27" customFormat="false" ht="15" hidden="false" customHeight="false" outlineLevel="0" collapsed="false">
      <c r="A27" s="32" t="s">
        <v>615</v>
      </c>
      <c r="B27" s="32"/>
      <c r="C27" s="32"/>
      <c r="D27" s="32"/>
      <c r="E27" s="32"/>
      <c r="F27" s="32"/>
    </row>
    <row r="28" customFormat="false" ht="15" hidden="false" customHeight="false" outlineLevel="0" collapsed="false">
      <c r="A28" s="32" t="s">
        <v>616</v>
      </c>
      <c r="B28" s="32"/>
      <c r="C28" s="32"/>
      <c r="D28" s="32"/>
      <c r="E28" s="32"/>
      <c r="F28" s="32"/>
    </row>
    <row r="29" customFormat="false" ht="15" hidden="false" customHeight="false" outlineLevel="0" collapsed="false">
      <c r="A29" s="32" t="s">
        <v>617</v>
      </c>
      <c r="B29" s="32"/>
      <c r="C29" s="32"/>
      <c r="D29" s="32"/>
      <c r="E29" s="32"/>
      <c r="F29" s="32"/>
    </row>
    <row r="31" customFormat="false" ht="17.35" hidden="false" customHeight="false" outlineLevel="0" collapsed="false">
      <c r="A31" s="33" t="s">
        <v>618</v>
      </c>
      <c r="B31" s="33"/>
      <c r="C31" s="33"/>
      <c r="D31" s="33"/>
      <c r="E31" s="33"/>
      <c r="F31" s="33"/>
    </row>
    <row r="32" customFormat="false" ht="15" hidden="false" customHeight="false" outlineLevel="0" collapsed="false">
      <c r="A32" s="0" t="s">
        <v>619</v>
      </c>
      <c r="B32" s="0" t="s">
        <v>577</v>
      </c>
    </row>
    <row r="33" customFormat="false" ht="15" hidden="false" customHeight="false" outlineLevel="0" collapsed="false">
      <c r="A33" s="0" t="s">
        <v>620</v>
      </c>
      <c r="B33" s="0" t="s">
        <v>621</v>
      </c>
    </row>
    <row r="34" customFormat="false" ht="15" hidden="false" customHeight="false" outlineLevel="0" collapsed="false">
      <c r="A34" s="12" t="s">
        <v>622</v>
      </c>
      <c r="B34" s="19" t="s">
        <v>582</v>
      </c>
    </row>
    <row r="40" customFormat="false" ht="15" hidden="false" customHeight="false" outlineLevel="0" collapsed="false">
      <c r="A40" s="34" t="s">
        <v>623</v>
      </c>
      <c r="B40" s="34"/>
      <c r="C40" s="34"/>
      <c r="D40" s="34"/>
      <c r="E40" s="34"/>
      <c r="F40" s="34"/>
    </row>
    <row r="41" customFormat="false" ht="15" hidden="false" customHeight="false" outlineLevel="0" collapsed="false">
      <c r="A41" s="34" t="s">
        <v>624</v>
      </c>
      <c r="B41" s="34"/>
      <c r="C41" s="34"/>
      <c r="D41" s="34"/>
      <c r="E41" s="34"/>
      <c r="F41" s="34"/>
    </row>
  </sheetData>
  <mergeCells count="19">
    <mergeCell ref="A1:F1"/>
    <mergeCell ref="A3:F3"/>
    <mergeCell ref="A5:F5"/>
    <mergeCell ref="B8:F8"/>
    <mergeCell ref="A10:F10"/>
    <mergeCell ref="A18:F18"/>
    <mergeCell ref="A19:F19"/>
    <mergeCell ref="A20:F20"/>
    <mergeCell ref="A21:F21"/>
    <mergeCell ref="A22:F22"/>
    <mergeCell ref="A23:F23"/>
    <mergeCell ref="A25:F25"/>
    <mergeCell ref="A26:F26"/>
    <mergeCell ref="A27:F27"/>
    <mergeCell ref="A28:F28"/>
    <mergeCell ref="A29:F29"/>
    <mergeCell ref="A31:F31"/>
    <mergeCell ref="A40:F4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2026-02-01T19:02:30Z</dcterms:created>
  <dc:creator>openpyxl</dc:creator>
  <dc:description/>
  <dc:language>en-US</dc:language>
  <cp:lastModifiedBy/>
  <dcterms:modified xsi:type="dcterms:W3CDTF">2026-02-01T19:02:30Z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